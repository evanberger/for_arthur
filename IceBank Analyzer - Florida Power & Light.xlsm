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Evan\Desktop\Calmac\Data\MJ Sheets\"/>
    </mc:Choice>
  </mc:AlternateContent>
  <bookViews>
    <workbookView xWindow="0" yWindow="0" windowWidth="20490" windowHeight="7760" tabRatio="929"/>
  </bookViews>
  <sheets>
    <sheet name="Cover Page" sheetId="15" r:id="rId1"/>
    <sheet name="Chiller Calcs" sheetId="4" state="hidden" r:id="rId2"/>
    <sheet name="Summary" sheetId="7" r:id="rId3"/>
    <sheet name="IceBank Account" sheetId="1" r:id="rId4"/>
    <sheet name="GSD" sheetId="16" r:id="rId5"/>
    <sheet name="GSLD1" sheetId="17" r:id="rId6"/>
    <sheet name="GSLD2" sheetId="18" r:id="rId7"/>
    <sheet name="GSDT" sheetId="19" r:id="rId8"/>
    <sheet name="GSLDT1" sheetId="20" r:id="rId9"/>
    <sheet name="GSLDT2" sheetId="21" r:id="rId10"/>
    <sheet name="GSD-SDTR (Option B)" sheetId="22" r:id="rId11"/>
    <sheet name="GSLD1-SDTR (Option B)" sheetId="23" r:id="rId12"/>
    <sheet name="GSLD2-SDTR (Option B)" sheetId="24" r:id="rId13"/>
    <sheet name="Savings Analysis" sheetId="8" state="hidden" r:id="rId14"/>
    <sheet name="Chiller Input &amp; Cooling Profile" sheetId="3" state="hidden" r:id="rId15"/>
  </sheets>
  <externalReferences>
    <externalReference r:id="rId16"/>
    <externalReference r:id="rId17"/>
  </externalReferences>
  <definedNames>
    <definedName name="DD_Eff">Summary!$B$18</definedName>
    <definedName name="Efficiency">Summary!$B$17</definedName>
    <definedName name="HourTypes">'IceBank Account'!$B$8:$B$31</definedName>
    <definedName name="IceMaking_Eff">Summary!$B$19</definedName>
    <definedName name="Months">Summary!$B$14</definedName>
    <definedName name="PeakLoad">Summary!$B$9</definedName>
    <definedName name="_xlnm.Print_Area" localSheetId="3">'IceBank Account'!$A$1:$W$39</definedName>
    <definedName name="RatesTable">'Cover Page'!$A$103:$C$112</definedName>
    <definedName name="reference">'Chiller Calcs'!$C$45</definedName>
    <definedName name="Shoulder">Summary!$B$16</definedName>
    <definedName name="Shoulder_kW">'Cover Page'!$B$158</definedName>
    <definedName name="Tanks">'Cover Page'!$I$74</definedName>
    <definedName name="Tax">Summary!$B$29</definedName>
    <definedName name="Values">'IceBank Account'!$E$8:$H$31</definedName>
    <definedName name="Weekend">Summary!$B$15</definedName>
  </definedNames>
  <calcPr calcId="171027"/>
</workbook>
</file>

<file path=xl/calcChain.xml><?xml version="1.0" encoding="utf-8"?>
<calcChain xmlns="http://schemas.openxmlformats.org/spreadsheetml/2006/main">
  <c r="B19" i="24" l="1"/>
  <c r="B10" i="19"/>
  <c r="B31" i="17" l="1"/>
  <c r="Q28" i="15" l="1"/>
  <c r="R28" i="15" l="1"/>
  <c r="I28" i="15" s="1"/>
  <c r="Q51" i="15"/>
  <c r="R51" i="15" s="1"/>
  <c r="I51" i="15" s="1"/>
  <c r="Q50" i="15"/>
  <c r="R50" i="15" s="1"/>
  <c r="I50" i="15" s="1"/>
  <c r="Q49" i="15"/>
  <c r="R49" i="15" s="1"/>
  <c r="I49" i="15" s="1"/>
  <c r="Q48" i="15"/>
  <c r="R48" i="15" s="1"/>
  <c r="I48" i="15" s="1"/>
  <c r="Q47" i="15"/>
  <c r="R47" i="15" s="1"/>
  <c r="I47" i="15" s="1"/>
  <c r="Q46" i="15"/>
  <c r="R46" i="15" s="1"/>
  <c r="I46" i="15" s="1"/>
  <c r="Q45" i="15"/>
  <c r="R45" i="15" s="1"/>
  <c r="I45" i="15" s="1"/>
  <c r="Q44" i="15"/>
  <c r="R44" i="15" s="1"/>
  <c r="I44" i="15" s="1"/>
  <c r="Q43" i="15"/>
  <c r="R43" i="15" s="1"/>
  <c r="I43" i="15" s="1"/>
  <c r="Q42" i="15"/>
  <c r="R42" i="15" s="1"/>
  <c r="I42" i="15" s="1"/>
  <c r="Q41" i="15"/>
  <c r="R41" i="15" s="1"/>
  <c r="I41" i="15" s="1"/>
  <c r="Q40" i="15"/>
  <c r="R40" i="15" s="1"/>
  <c r="I40" i="15" s="1"/>
  <c r="Q39" i="15"/>
  <c r="R39" i="15" s="1"/>
  <c r="I39" i="15" s="1"/>
  <c r="Q38" i="15"/>
  <c r="R38" i="15" s="1"/>
  <c r="I38" i="15" s="1"/>
  <c r="Q37" i="15"/>
  <c r="R37" i="15" s="1"/>
  <c r="I37" i="15" s="1"/>
  <c r="Q36" i="15"/>
  <c r="R36" i="15" s="1"/>
  <c r="I36" i="15" s="1"/>
  <c r="Q35" i="15"/>
  <c r="R35" i="15" s="1"/>
  <c r="I35" i="15" s="1"/>
  <c r="Q34" i="15"/>
  <c r="R34" i="15" s="1"/>
  <c r="I34" i="15" s="1"/>
  <c r="Q33" i="15"/>
  <c r="R33" i="15" s="1"/>
  <c r="I33" i="15" s="1"/>
  <c r="Q32" i="15"/>
  <c r="R32" i="15" s="1"/>
  <c r="I32" i="15" s="1"/>
  <c r="Q31" i="15"/>
  <c r="R31" i="15" s="1"/>
  <c r="I31" i="15" s="1"/>
  <c r="Q30" i="15"/>
  <c r="R30" i="15" s="1"/>
  <c r="I30" i="15" s="1"/>
  <c r="Q29" i="15"/>
  <c r="R29" i="15" s="1"/>
  <c r="I29" i="15" s="1"/>
  <c r="H150" i="15" l="1"/>
  <c r="H151" i="15"/>
  <c r="H152" i="15"/>
  <c r="H153" i="15"/>
  <c r="H154" i="15"/>
  <c r="H155" i="15"/>
  <c r="H156" i="15"/>
  <c r="H157" i="15"/>
  <c r="H149" i="15"/>
  <c r="I18" i="17" l="1"/>
  <c r="K14" i="18"/>
  <c r="N18" i="18"/>
  <c r="I18" i="18"/>
  <c r="F14" i="18"/>
  <c r="N18" i="17"/>
  <c r="K14" i="17"/>
  <c r="N18" i="16"/>
  <c r="K14" i="16"/>
  <c r="I18" i="16"/>
  <c r="F14" i="16"/>
  <c r="F14" i="17"/>
  <c r="N26" i="22"/>
  <c r="N26" i="23"/>
  <c r="N26" i="24"/>
  <c r="B9" i="16"/>
  <c r="B9" i="17"/>
  <c r="B9" i="18"/>
  <c r="B10" i="20"/>
  <c r="B10" i="21"/>
  <c r="B19" i="22"/>
  <c r="B19" i="23"/>
  <c r="B73" i="16"/>
  <c r="B72" i="16"/>
  <c r="B71" i="16"/>
  <c r="B70" i="16"/>
  <c r="B69" i="16"/>
  <c r="B68" i="16"/>
  <c r="B67" i="16"/>
  <c r="B66" i="16"/>
  <c r="B65" i="16"/>
  <c r="B64" i="16"/>
  <c r="B63" i="16"/>
  <c r="B62" i="16"/>
  <c r="B61" i="16"/>
  <c r="B60" i="16"/>
  <c r="B59" i="16"/>
  <c r="F8" i="7"/>
  <c r="F7" i="7"/>
  <c r="I97" i="24"/>
  <c r="I98" i="24" s="1"/>
  <c r="E95" i="24"/>
  <c r="D95" i="24"/>
  <c r="E94" i="24"/>
  <c r="D94" i="24"/>
  <c r="E93" i="24"/>
  <c r="D93" i="24"/>
  <c r="E92" i="24"/>
  <c r="D92" i="24"/>
  <c r="B92" i="24"/>
  <c r="E91" i="24"/>
  <c r="D91" i="24"/>
  <c r="B91" i="24"/>
  <c r="E90" i="24"/>
  <c r="D90" i="24"/>
  <c r="B90" i="24"/>
  <c r="E89" i="24"/>
  <c r="D89" i="24"/>
  <c r="B89" i="24"/>
  <c r="E88" i="24"/>
  <c r="D88" i="24"/>
  <c r="B88" i="24"/>
  <c r="E87" i="24"/>
  <c r="D87" i="24"/>
  <c r="B87" i="24"/>
  <c r="E86" i="24"/>
  <c r="D86" i="24"/>
  <c r="B86" i="24"/>
  <c r="E85" i="24"/>
  <c r="D85" i="24"/>
  <c r="B85" i="24"/>
  <c r="E84" i="24"/>
  <c r="D84" i="24"/>
  <c r="B84" i="24"/>
  <c r="E83" i="24"/>
  <c r="D83" i="24"/>
  <c r="B83" i="24"/>
  <c r="E82" i="24"/>
  <c r="D82" i="24"/>
  <c r="B82" i="24"/>
  <c r="E81" i="24"/>
  <c r="D81" i="24"/>
  <c r="B81" i="24"/>
  <c r="E80" i="24"/>
  <c r="D80" i="24"/>
  <c r="B80" i="24"/>
  <c r="E79" i="24"/>
  <c r="D79" i="24"/>
  <c r="B79" i="24"/>
  <c r="E78" i="24"/>
  <c r="D78" i="24"/>
  <c r="B78" i="24"/>
  <c r="E77" i="24"/>
  <c r="D77" i="24"/>
  <c r="E76" i="24"/>
  <c r="D76" i="24"/>
  <c r="E75" i="24"/>
  <c r="D75" i="24"/>
  <c r="E74" i="24"/>
  <c r="D74" i="24"/>
  <c r="E73" i="24"/>
  <c r="D73" i="24"/>
  <c r="E72" i="24"/>
  <c r="D72" i="24"/>
  <c r="A72" i="24"/>
  <c r="A73" i="24" s="1"/>
  <c r="A74" i="24" s="1"/>
  <c r="A75" i="24" s="1"/>
  <c r="A76" i="24" s="1"/>
  <c r="A77" i="24" s="1"/>
  <c r="A78" i="24" s="1"/>
  <c r="A79" i="24" s="1"/>
  <c r="A80" i="24" s="1"/>
  <c r="A81" i="24" s="1"/>
  <c r="A82" i="24" s="1"/>
  <c r="A83" i="24" s="1"/>
  <c r="A84" i="24" s="1"/>
  <c r="A85" i="24" s="1"/>
  <c r="A86" i="24" s="1"/>
  <c r="A87" i="24" s="1"/>
  <c r="A88" i="24" s="1"/>
  <c r="A89" i="24" s="1"/>
  <c r="A90" i="24" s="1"/>
  <c r="A91" i="24" s="1"/>
  <c r="A92" i="24" s="1"/>
  <c r="A93" i="24" s="1"/>
  <c r="A94" i="24" s="1"/>
  <c r="A95" i="24" s="1"/>
  <c r="E70" i="24"/>
  <c r="D70" i="24"/>
  <c r="C70" i="24"/>
  <c r="C93" i="24" s="1"/>
  <c r="B70" i="24"/>
  <c r="B95" i="24" s="1"/>
  <c r="I26" i="24"/>
  <c r="M23" i="24"/>
  <c r="M22" i="24"/>
  <c r="H22" i="24"/>
  <c r="K21" i="24"/>
  <c r="F21" i="24"/>
  <c r="M16" i="24"/>
  <c r="H16" i="24"/>
  <c r="M10" i="24"/>
  <c r="H10" i="24"/>
  <c r="I97" i="23"/>
  <c r="I98" i="23" s="1"/>
  <c r="E95" i="23"/>
  <c r="D95" i="23"/>
  <c r="E94" i="23"/>
  <c r="D94" i="23"/>
  <c r="E93" i="23"/>
  <c r="D93" i="23"/>
  <c r="E92" i="23"/>
  <c r="D92" i="23"/>
  <c r="B92" i="23"/>
  <c r="E91" i="23"/>
  <c r="D91" i="23"/>
  <c r="B91" i="23"/>
  <c r="E90" i="23"/>
  <c r="D90" i="23"/>
  <c r="B90" i="23"/>
  <c r="E89" i="23"/>
  <c r="D89" i="23"/>
  <c r="B89" i="23"/>
  <c r="E88" i="23"/>
  <c r="D88" i="23"/>
  <c r="B88" i="23"/>
  <c r="E87" i="23"/>
  <c r="D87" i="23"/>
  <c r="B87" i="23"/>
  <c r="E86" i="23"/>
  <c r="D86" i="23"/>
  <c r="B86" i="23"/>
  <c r="E85" i="23"/>
  <c r="D85" i="23"/>
  <c r="B85" i="23"/>
  <c r="E84" i="23"/>
  <c r="D84" i="23"/>
  <c r="B84" i="23"/>
  <c r="E83" i="23"/>
  <c r="D83" i="23"/>
  <c r="B83" i="23"/>
  <c r="E82" i="23"/>
  <c r="D82" i="23"/>
  <c r="B82" i="23"/>
  <c r="E81" i="23"/>
  <c r="D81" i="23"/>
  <c r="B81" i="23"/>
  <c r="E80" i="23"/>
  <c r="D80" i="23"/>
  <c r="B80" i="23"/>
  <c r="E79" i="23"/>
  <c r="D79" i="23"/>
  <c r="B79" i="23"/>
  <c r="E78" i="23"/>
  <c r="D78" i="23"/>
  <c r="B78" i="23"/>
  <c r="E77" i="23"/>
  <c r="D77" i="23"/>
  <c r="E76" i="23"/>
  <c r="D76" i="23"/>
  <c r="E75" i="23"/>
  <c r="D75" i="23"/>
  <c r="E74" i="23"/>
  <c r="D74" i="23"/>
  <c r="E73" i="23"/>
  <c r="D73" i="23"/>
  <c r="E72" i="23"/>
  <c r="D72" i="23"/>
  <c r="A72" i="23"/>
  <c r="A73" i="23" s="1"/>
  <c r="A74" i="23" s="1"/>
  <c r="A75" i="23" s="1"/>
  <c r="A76" i="23" s="1"/>
  <c r="A77" i="23" s="1"/>
  <c r="A78" i="23" s="1"/>
  <c r="A79" i="23" s="1"/>
  <c r="A80" i="23" s="1"/>
  <c r="A81" i="23" s="1"/>
  <c r="A82" i="23" s="1"/>
  <c r="A83" i="23" s="1"/>
  <c r="A84" i="23" s="1"/>
  <c r="A85" i="23" s="1"/>
  <c r="A86" i="23" s="1"/>
  <c r="A87" i="23" s="1"/>
  <c r="A88" i="23" s="1"/>
  <c r="A89" i="23" s="1"/>
  <c r="A90" i="23" s="1"/>
  <c r="A91" i="23" s="1"/>
  <c r="A92" i="23" s="1"/>
  <c r="A93" i="23" s="1"/>
  <c r="A94" i="23" s="1"/>
  <c r="A95" i="23" s="1"/>
  <c r="E70" i="23"/>
  <c r="D70" i="23"/>
  <c r="C70" i="23"/>
  <c r="B70" i="23"/>
  <c r="H76" i="23" s="1"/>
  <c r="J76" i="23" s="1"/>
  <c r="I26" i="23"/>
  <c r="M23" i="23"/>
  <c r="M22" i="23"/>
  <c r="H22" i="23"/>
  <c r="K21" i="23"/>
  <c r="F21" i="23"/>
  <c r="M16" i="23"/>
  <c r="H16" i="23"/>
  <c r="M10" i="23"/>
  <c r="H10" i="23"/>
  <c r="I97" i="22"/>
  <c r="I98" i="22" s="1"/>
  <c r="E95" i="22"/>
  <c r="D95" i="22"/>
  <c r="E94" i="22"/>
  <c r="D94" i="22"/>
  <c r="E93" i="22"/>
  <c r="D93" i="22"/>
  <c r="E92" i="22"/>
  <c r="D92" i="22"/>
  <c r="B92" i="22"/>
  <c r="E91" i="22"/>
  <c r="D91" i="22"/>
  <c r="B91" i="22"/>
  <c r="E90" i="22"/>
  <c r="D90" i="22"/>
  <c r="B90" i="22"/>
  <c r="E89" i="22"/>
  <c r="D89" i="22"/>
  <c r="B89" i="22"/>
  <c r="E88" i="22"/>
  <c r="D88" i="22"/>
  <c r="B88" i="22"/>
  <c r="E87" i="22"/>
  <c r="D87" i="22"/>
  <c r="B87" i="22"/>
  <c r="E86" i="22"/>
  <c r="D86" i="22"/>
  <c r="B86" i="22"/>
  <c r="E85" i="22"/>
  <c r="D85" i="22"/>
  <c r="B85" i="22"/>
  <c r="E84" i="22"/>
  <c r="D84" i="22"/>
  <c r="B84" i="22"/>
  <c r="E83" i="22"/>
  <c r="D83" i="22"/>
  <c r="B83" i="22"/>
  <c r="E82" i="22"/>
  <c r="D82" i="22"/>
  <c r="B82" i="22"/>
  <c r="E81" i="22"/>
  <c r="D81" i="22"/>
  <c r="B81" i="22"/>
  <c r="E80" i="22"/>
  <c r="D80" i="22"/>
  <c r="B80" i="22"/>
  <c r="E79" i="22"/>
  <c r="D79" i="22"/>
  <c r="B79" i="22"/>
  <c r="E78" i="22"/>
  <c r="D78" i="22"/>
  <c r="B78" i="22"/>
  <c r="E77" i="22"/>
  <c r="D77" i="22"/>
  <c r="E76" i="22"/>
  <c r="D76" i="22"/>
  <c r="E75" i="22"/>
  <c r="D75" i="22"/>
  <c r="E74" i="22"/>
  <c r="D74" i="22"/>
  <c r="E73" i="22"/>
  <c r="D73" i="22"/>
  <c r="E72" i="22"/>
  <c r="D72" i="22"/>
  <c r="A72" i="22"/>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E70" i="22"/>
  <c r="D70" i="22"/>
  <c r="C70" i="22"/>
  <c r="C92" i="22" s="1"/>
  <c r="B70" i="22"/>
  <c r="B93" i="22" s="1"/>
  <c r="I26" i="22"/>
  <c r="M22" i="22"/>
  <c r="H22" i="22"/>
  <c r="K21" i="22"/>
  <c r="F21" i="22"/>
  <c r="M16" i="22"/>
  <c r="H16" i="22"/>
  <c r="M10" i="22"/>
  <c r="H10" i="22"/>
  <c r="I99" i="21"/>
  <c r="I100" i="21" s="1"/>
  <c r="E97" i="21"/>
  <c r="D97" i="21"/>
  <c r="E96" i="21"/>
  <c r="D96" i="21"/>
  <c r="E95" i="21"/>
  <c r="D95" i="21"/>
  <c r="E94" i="21"/>
  <c r="D94" i="21"/>
  <c r="B94" i="21"/>
  <c r="E93" i="21"/>
  <c r="D93" i="21"/>
  <c r="B93" i="21"/>
  <c r="E92" i="21"/>
  <c r="D92" i="21"/>
  <c r="B92" i="21"/>
  <c r="E91" i="21"/>
  <c r="D91" i="21"/>
  <c r="B91" i="21"/>
  <c r="E90" i="21"/>
  <c r="D90" i="21"/>
  <c r="B90" i="21"/>
  <c r="E89" i="21"/>
  <c r="D89" i="21"/>
  <c r="B89" i="21"/>
  <c r="E88" i="21"/>
  <c r="D88" i="21"/>
  <c r="B88" i="21"/>
  <c r="E87" i="21"/>
  <c r="D87" i="21"/>
  <c r="B87" i="21"/>
  <c r="E86" i="21"/>
  <c r="D86" i="21"/>
  <c r="B86" i="21"/>
  <c r="E85" i="21"/>
  <c r="D85" i="21"/>
  <c r="B85" i="21"/>
  <c r="E84" i="21"/>
  <c r="D84" i="21"/>
  <c r="B84" i="21"/>
  <c r="E83" i="21"/>
  <c r="D83" i="21"/>
  <c r="B83" i="21"/>
  <c r="E82" i="21"/>
  <c r="D82" i="21"/>
  <c r="B82" i="21"/>
  <c r="E81" i="21"/>
  <c r="D81" i="21"/>
  <c r="B81" i="21"/>
  <c r="E80" i="21"/>
  <c r="D80" i="21"/>
  <c r="B80" i="21"/>
  <c r="E79" i="21"/>
  <c r="D79" i="21"/>
  <c r="E78" i="21"/>
  <c r="D78" i="21"/>
  <c r="E77" i="21"/>
  <c r="D77" i="21"/>
  <c r="E76" i="21"/>
  <c r="D76" i="21"/>
  <c r="E75" i="21"/>
  <c r="D75" i="21"/>
  <c r="E74" i="21"/>
  <c r="D74" i="21"/>
  <c r="A74" i="2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E72" i="21"/>
  <c r="D72" i="21"/>
  <c r="C72" i="21"/>
  <c r="C97" i="21" s="1"/>
  <c r="B72" i="21"/>
  <c r="H97" i="21" s="1"/>
  <c r="J97" i="21" s="1"/>
  <c r="N20" i="21"/>
  <c r="I20" i="21"/>
  <c r="M16" i="21"/>
  <c r="H16" i="21"/>
  <c r="M10" i="21"/>
  <c r="H10" i="21"/>
  <c r="I99" i="20"/>
  <c r="I100" i="20" s="1"/>
  <c r="E97" i="20"/>
  <c r="D97" i="20"/>
  <c r="E96" i="20"/>
  <c r="D96" i="20"/>
  <c r="E95" i="20"/>
  <c r="D95" i="20"/>
  <c r="E94" i="20"/>
  <c r="D94" i="20"/>
  <c r="B94" i="20"/>
  <c r="E93" i="20"/>
  <c r="D93" i="20"/>
  <c r="B93" i="20"/>
  <c r="E92" i="20"/>
  <c r="D92" i="20"/>
  <c r="B92" i="20"/>
  <c r="E91" i="20"/>
  <c r="D91" i="20"/>
  <c r="B91" i="20"/>
  <c r="E90" i="20"/>
  <c r="D90" i="20"/>
  <c r="B90" i="20"/>
  <c r="E89" i="20"/>
  <c r="D89" i="20"/>
  <c r="B89" i="20"/>
  <c r="E88" i="20"/>
  <c r="D88" i="20"/>
  <c r="B88" i="20"/>
  <c r="E87" i="20"/>
  <c r="D87" i="20"/>
  <c r="B87" i="20"/>
  <c r="E86" i="20"/>
  <c r="D86" i="20"/>
  <c r="B86" i="20"/>
  <c r="E85" i="20"/>
  <c r="D85" i="20"/>
  <c r="B85" i="20"/>
  <c r="E84" i="20"/>
  <c r="D84" i="20"/>
  <c r="B84" i="20"/>
  <c r="E83" i="20"/>
  <c r="D83" i="20"/>
  <c r="B83" i="20"/>
  <c r="E82" i="20"/>
  <c r="D82" i="20"/>
  <c r="B82" i="20"/>
  <c r="E81" i="20"/>
  <c r="D81" i="20"/>
  <c r="B81" i="20"/>
  <c r="E80" i="20"/>
  <c r="D80" i="20"/>
  <c r="B80" i="20"/>
  <c r="E79" i="20"/>
  <c r="D79" i="20"/>
  <c r="E78" i="20"/>
  <c r="D78" i="20"/>
  <c r="E77" i="20"/>
  <c r="D77" i="20"/>
  <c r="E76" i="20"/>
  <c r="D76" i="20"/>
  <c r="E75" i="20"/>
  <c r="D75" i="20"/>
  <c r="E74" i="20"/>
  <c r="D74" i="20"/>
  <c r="A74" i="20"/>
  <c r="A75" i="20" s="1"/>
  <c r="A76" i="20" s="1"/>
  <c r="A77" i="20" s="1"/>
  <c r="A78" i="20" s="1"/>
  <c r="A79" i="20" s="1"/>
  <c r="A80" i="20" s="1"/>
  <c r="A81" i="20" s="1"/>
  <c r="A82" i="20" s="1"/>
  <c r="A83" i="20" s="1"/>
  <c r="A84" i="20" s="1"/>
  <c r="A85" i="20" s="1"/>
  <c r="A86" i="20" s="1"/>
  <c r="A87" i="20" s="1"/>
  <c r="A88" i="20" s="1"/>
  <c r="A89" i="20" s="1"/>
  <c r="A90" i="20" s="1"/>
  <c r="A91" i="20" s="1"/>
  <c r="A92" i="20" s="1"/>
  <c r="A93" i="20" s="1"/>
  <c r="A94" i="20" s="1"/>
  <c r="A95" i="20" s="1"/>
  <c r="A96" i="20" s="1"/>
  <c r="A97" i="20" s="1"/>
  <c r="E72" i="20"/>
  <c r="D72" i="20"/>
  <c r="C72" i="20"/>
  <c r="C75" i="20" s="1"/>
  <c r="B72" i="20"/>
  <c r="B76" i="20" s="1"/>
  <c r="N20" i="20"/>
  <c r="I20" i="20"/>
  <c r="M16" i="20"/>
  <c r="H16" i="20"/>
  <c r="M10" i="20"/>
  <c r="H10" i="20"/>
  <c r="I99" i="19"/>
  <c r="I100" i="19" s="1"/>
  <c r="E97" i="19"/>
  <c r="D97" i="19"/>
  <c r="E96" i="19"/>
  <c r="D96" i="19"/>
  <c r="E95" i="19"/>
  <c r="D95" i="19"/>
  <c r="E94" i="19"/>
  <c r="D94" i="19"/>
  <c r="B94" i="19"/>
  <c r="E93" i="19"/>
  <c r="D93" i="19"/>
  <c r="B93" i="19"/>
  <c r="E92" i="19"/>
  <c r="D92" i="19"/>
  <c r="B92" i="19"/>
  <c r="E91" i="19"/>
  <c r="D91" i="19"/>
  <c r="B91" i="19"/>
  <c r="E90" i="19"/>
  <c r="D90" i="19"/>
  <c r="B90" i="19"/>
  <c r="E89" i="19"/>
  <c r="D89" i="19"/>
  <c r="B89" i="19"/>
  <c r="E88" i="19"/>
  <c r="D88" i="19"/>
  <c r="B88" i="19"/>
  <c r="E87" i="19"/>
  <c r="D87" i="19"/>
  <c r="B87" i="19"/>
  <c r="E86" i="19"/>
  <c r="D86" i="19"/>
  <c r="B86" i="19"/>
  <c r="E85" i="19"/>
  <c r="D85" i="19"/>
  <c r="B85" i="19"/>
  <c r="E84" i="19"/>
  <c r="D84" i="19"/>
  <c r="B84" i="19"/>
  <c r="E83" i="19"/>
  <c r="D83" i="19"/>
  <c r="B83" i="19"/>
  <c r="E82" i="19"/>
  <c r="D82" i="19"/>
  <c r="B82" i="19"/>
  <c r="E81" i="19"/>
  <c r="D81" i="19"/>
  <c r="B81" i="19"/>
  <c r="E80" i="19"/>
  <c r="D80" i="19"/>
  <c r="B80" i="19"/>
  <c r="E79" i="19"/>
  <c r="D79" i="19"/>
  <c r="E78" i="19"/>
  <c r="D78" i="19"/>
  <c r="E77" i="19"/>
  <c r="D77" i="19"/>
  <c r="E76" i="19"/>
  <c r="D76" i="19"/>
  <c r="E75" i="19"/>
  <c r="D75" i="19"/>
  <c r="E74" i="19"/>
  <c r="D74" i="19"/>
  <c r="A74" i="19"/>
  <c r="A75" i="19" s="1"/>
  <c r="A76" i="19" s="1"/>
  <c r="A77" i="19" s="1"/>
  <c r="A78" i="19" s="1"/>
  <c r="A79" i="19" s="1"/>
  <c r="A80" i="19" s="1"/>
  <c r="A81" i="19" s="1"/>
  <c r="A82" i="19" s="1"/>
  <c r="A83" i="19" s="1"/>
  <c r="A84" i="19" s="1"/>
  <c r="A85" i="19" s="1"/>
  <c r="A86" i="19" s="1"/>
  <c r="A87" i="19" s="1"/>
  <c r="A88" i="19" s="1"/>
  <c r="A89" i="19" s="1"/>
  <c r="A90" i="19" s="1"/>
  <c r="A91" i="19" s="1"/>
  <c r="A92" i="19" s="1"/>
  <c r="A93" i="19" s="1"/>
  <c r="A94" i="19" s="1"/>
  <c r="A95" i="19" s="1"/>
  <c r="A96" i="19" s="1"/>
  <c r="A97" i="19" s="1"/>
  <c r="E72" i="19"/>
  <c r="D72" i="19"/>
  <c r="C72" i="19"/>
  <c r="C97" i="19" s="1"/>
  <c r="B72" i="19"/>
  <c r="H97" i="19" s="1"/>
  <c r="J97" i="19" s="1"/>
  <c r="N20" i="19"/>
  <c r="I20" i="19"/>
  <c r="M16" i="19"/>
  <c r="H16" i="19"/>
  <c r="M10" i="19"/>
  <c r="H10" i="19"/>
  <c r="I78" i="18"/>
  <c r="I79" i="18" s="1"/>
  <c r="E76" i="18"/>
  <c r="D76" i="18"/>
  <c r="E75" i="18"/>
  <c r="D75" i="18"/>
  <c r="E74" i="18"/>
  <c r="D74" i="18"/>
  <c r="E73" i="18"/>
  <c r="D73" i="18"/>
  <c r="B73" i="18"/>
  <c r="E72" i="18"/>
  <c r="D72" i="18"/>
  <c r="B72" i="18"/>
  <c r="E71" i="18"/>
  <c r="D71" i="18"/>
  <c r="B71" i="18"/>
  <c r="E70" i="18"/>
  <c r="D70" i="18"/>
  <c r="B70" i="18"/>
  <c r="E69" i="18"/>
  <c r="D69" i="18"/>
  <c r="B69" i="18"/>
  <c r="E68" i="18"/>
  <c r="D68" i="18"/>
  <c r="B68" i="18"/>
  <c r="E67" i="18"/>
  <c r="D67" i="18"/>
  <c r="B67" i="18"/>
  <c r="E66" i="18"/>
  <c r="D66" i="18"/>
  <c r="B66" i="18"/>
  <c r="E65" i="18"/>
  <c r="D65" i="18"/>
  <c r="B65" i="18"/>
  <c r="E64" i="18"/>
  <c r="D64" i="18"/>
  <c r="B64" i="18"/>
  <c r="E63" i="18"/>
  <c r="D63" i="18"/>
  <c r="B63" i="18"/>
  <c r="E62" i="18"/>
  <c r="D62" i="18"/>
  <c r="B62" i="18"/>
  <c r="E61" i="18"/>
  <c r="D61" i="18"/>
  <c r="B61" i="18"/>
  <c r="E60" i="18"/>
  <c r="D60" i="18"/>
  <c r="B60" i="18"/>
  <c r="E59" i="18"/>
  <c r="D59" i="18"/>
  <c r="B59" i="18"/>
  <c r="E58" i="18"/>
  <c r="D58" i="18"/>
  <c r="E57" i="18"/>
  <c r="D57" i="18"/>
  <c r="E56" i="18"/>
  <c r="D56" i="18"/>
  <c r="E55" i="18"/>
  <c r="D55" i="18"/>
  <c r="E54" i="18"/>
  <c r="D54" i="18"/>
  <c r="E53" i="18"/>
  <c r="D53" i="18"/>
  <c r="A53" i="18"/>
  <c r="A54" i="18" s="1"/>
  <c r="A55" i="18" s="1"/>
  <c r="A56" i="18" s="1"/>
  <c r="A57" i="18" s="1"/>
  <c r="A58" i="18" s="1"/>
  <c r="A59" i="18" s="1"/>
  <c r="A60" i="18" s="1"/>
  <c r="A61" i="18" s="1"/>
  <c r="A62" i="18" s="1"/>
  <c r="A63" i="18" s="1"/>
  <c r="A64" i="18" s="1"/>
  <c r="A65" i="18" s="1"/>
  <c r="A66" i="18" s="1"/>
  <c r="A67" i="18" s="1"/>
  <c r="A68" i="18" s="1"/>
  <c r="A69" i="18" s="1"/>
  <c r="A70" i="18" s="1"/>
  <c r="A71" i="18" s="1"/>
  <c r="A72" i="18" s="1"/>
  <c r="A73" i="18" s="1"/>
  <c r="A74" i="18" s="1"/>
  <c r="A75" i="18" s="1"/>
  <c r="A76" i="18" s="1"/>
  <c r="E51" i="18"/>
  <c r="D51" i="18"/>
  <c r="C51" i="18"/>
  <c r="C61" i="18" s="1"/>
  <c r="B51" i="18"/>
  <c r="B58" i="18" s="1"/>
  <c r="M15" i="18"/>
  <c r="H15" i="18"/>
  <c r="M10" i="18"/>
  <c r="H10" i="18"/>
  <c r="I78" i="17"/>
  <c r="I79" i="17" s="1"/>
  <c r="E76" i="17"/>
  <c r="D76" i="17"/>
  <c r="E75" i="17"/>
  <c r="D75" i="17"/>
  <c r="E74" i="17"/>
  <c r="D74" i="17"/>
  <c r="E73" i="17"/>
  <c r="D73" i="17"/>
  <c r="B73" i="17"/>
  <c r="E72" i="17"/>
  <c r="D72" i="17"/>
  <c r="B72" i="17"/>
  <c r="E71" i="17"/>
  <c r="D71" i="17"/>
  <c r="B71" i="17"/>
  <c r="E70" i="17"/>
  <c r="D70" i="17"/>
  <c r="B70" i="17"/>
  <c r="E69" i="17"/>
  <c r="D69" i="17"/>
  <c r="B69" i="17"/>
  <c r="E68" i="17"/>
  <c r="D68" i="17"/>
  <c r="B68" i="17"/>
  <c r="E67" i="17"/>
  <c r="D67" i="17"/>
  <c r="B67" i="17"/>
  <c r="E66" i="17"/>
  <c r="D66" i="17"/>
  <c r="B66" i="17"/>
  <c r="E65" i="17"/>
  <c r="D65" i="17"/>
  <c r="B65" i="17"/>
  <c r="E64" i="17"/>
  <c r="D64" i="17"/>
  <c r="B64" i="17"/>
  <c r="E63" i="17"/>
  <c r="D63" i="17"/>
  <c r="B63" i="17"/>
  <c r="E62" i="17"/>
  <c r="D62" i="17"/>
  <c r="B62" i="17"/>
  <c r="E61" i="17"/>
  <c r="D61" i="17"/>
  <c r="B61" i="17"/>
  <c r="E60" i="17"/>
  <c r="D60" i="17"/>
  <c r="B60" i="17"/>
  <c r="E59" i="17"/>
  <c r="D59" i="17"/>
  <c r="B59" i="17"/>
  <c r="E58" i="17"/>
  <c r="D58" i="17"/>
  <c r="E57" i="17"/>
  <c r="D57" i="17"/>
  <c r="E56" i="17"/>
  <c r="D56" i="17"/>
  <c r="E55" i="17"/>
  <c r="D55" i="17"/>
  <c r="E54" i="17"/>
  <c r="D54" i="17"/>
  <c r="E53" i="17"/>
  <c r="D53" i="17"/>
  <c r="A53" i="17"/>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E51" i="17"/>
  <c r="D51" i="17"/>
  <c r="C51" i="17"/>
  <c r="C72" i="17" s="1"/>
  <c r="B51" i="17"/>
  <c r="H76" i="17" s="1"/>
  <c r="J76" i="17" s="1"/>
  <c r="M15" i="17"/>
  <c r="H15" i="17"/>
  <c r="M10" i="17"/>
  <c r="H10" i="17"/>
  <c r="I78" i="16"/>
  <c r="I79" i="16" s="1"/>
  <c r="E76" i="16"/>
  <c r="D76" i="16"/>
  <c r="E75" i="16"/>
  <c r="D75" i="16"/>
  <c r="E74" i="16"/>
  <c r="D74" i="16"/>
  <c r="E73" i="16"/>
  <c r="D73" i="16"/>
  <c r="E72" i="16"/>
  <c r="D72" i="16"/>
  <c r="E71" i="16"/>
  <c r="D71" i="16"/>
  <c r="E70" i="16"/>
  <c r="D70" i="16"/>
  <c r="E69" i="16"/>
  <c r="D69" i="16"/>
  <c r="E68" i="16"/>
  <c r="D68" i="16"/>
  <c r="E67" i="16"/>
  <c r="D67" i="16"/>
  <c r="E66" i="16"/>
  <c r="D66" i="16"/>
  <c r="E65" i="16"/>
  <c r="D65" i="16"/>
  <c r="E64" i="16"/>
  <c r="D64" i="16"/>
  <c r="E63" i="16"/>
  <c r="D63" i="16"/>
  <c r="E62" i="16"/>
  <c r="D62" i="16"/>
  <c r="E61" i="16"/>
  <c r="D61" i="16"/>
  <c r="E60" i="16"/>
  <c r="D60" i="16"/>
  <c r="E59" i="16"/>
  <c r="D59" i="16"/>
  <c r="E58" i="16"/>
  <c r="D58" i="16"/>
  <c r="E57" i="16"/>
  <c r="D57" i="16"/>
  <c r="E56" i="16"/>
  <c r="D56" i="16"/>
  <c r="E55" i="16"/>
  <c r="D55" i="16"/>
  <c r="E54" i="16"/>
  <c r="D54" i="16"/>
  <c r="E53" i="16"/>
  <c r="D53" i="16"/>
  <c r="A53" i="16"/>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E51" i="16"/>
  <c r="D51" i="16"/>
  <c r="C51" i="16"/>
  <c r="C73" i="16" s="1"/>
  <c r="B51" i="16"/>
  <c r="H76" i="16" s="1"/>
  <c r="M15" i="16"/>
  <c r="H15" i="16"/>
  <c r="M10" i="16"/>
  <c r="H10" i="16"/>
  <c r="B74" i="21" l="1"/>
  <c r="B55" i="18"/>
  <c r="B78" i="21"/>
  <c r="B96" i="21"/>
  <c r="B77" i="21"/>
  <c r="C65" i="16"/>
  <c r="H65" i="16" s="1"/>
  <c r="C59" i="17"/>
  <c r="F59" i="17" s="1"/>
  <c r="C60" i="17"/>
  <c r="H60" i="17" s="1"/>
  <c r="I60" i="17" s="1"/>
  <c r="J60" i="17" s="1"/>
  <c r="B74" i="19"/>
  <c r="B78" i="19"/>
  <c r="C83" i="20"/>
  <c r="F83" i="20" s="1"/>
  <c r="B76" i="21"/>
  <c r="B75" i="19"/>
  <c r="B79" i="19"/>
  <c r="B77" i="19"/>
  <c r="B96" i="19"/>
  <c r="B75" i="21"/>
  <c r="B79" i="21"/>
  <c r="C73" i="22"/>
  <c r="C65" i="18"/>
  <c r="H65" i="18" s="1"/>
  <c r="B76" i="19"/>
  <c r="B97" i="20"/>
  <c r="B74" i="20"/>
  <c r="B78" i="20"/>
  <c r="H95" i="20"/>
  <c r="I95" i="20" s="1"/>
  <c r="J95" i="20" s="1"/>
  <c r="C61" i="16"/>
  <c r="H61" i="16" s="1"/>
  <c r="I61" i="16" s="1"/>
  <c r="J61" i="16" s="1"/>
  <c r="H53" i="17"/>
  <c r="J53" i="17" s="1"/>
  <c r="H54" i="17"/>
  <c r="J54" i="17" s="1"/>
  <c r="H55" i="17"/>
  <c r="J55" i="17" s="1"/>
  <c r="H56" i="17"/>
  <c r="J56" i="17" s="1"/>
  <c r="H57" i="17"/>
  <c r="J57" i="17" s="1"/>
  <c r="H58" i="17"/>
  <c r="J58" i="17" s="1"/>
  <c r="C63" i="17"/>
  <c r="F63" i="17" s="1"/>
  <c r="H74" i="19"/>
  <c r="J74" i="19" s="1"/>
  <c r="H75" i="19"/>
  <c r="J75" i="19" s="1"/>
  <c r="H76" i="19"/>
  <c r="J76" i="19" s="1"/>
  <c r="H77" i="19"/>
  <c r="J77" i="19" s="1"/>
  <c r="H78" i="19"/>
  <c r="J78" i="19" s="1"/>
  <c r="H79" i="19"/>
  <c r="J79" i="19" s="1"/>
  <c r="H95" i="19"/>
  <c r="I95" i="19" s="1"/>
  <c r="C74" i="20"/>
  <c r="B75" i="20"/>
  <c r="F75" i="20" s="1"/>
  <c r="H75" i="20"/>
  <c r="J75" i="20" s="1"/>
  <c r="B77" i="20"/>
  <c r="C91" i="20"/>
  <c r="H91" i="20" s="1"/>
  <c r="B95" i="20"/>
  <c r="H74" i="21"/>
  <c r="J74" i="21" s="1"/>
  <c r="H75" i="21"/>
  <c r="J75" i="21" s="1"/>
  <c r="H76" i="21"/>
  <c r="J76" i="21" s="1"/>
  <c r="H77" i="21"/>
  <c r="J77" i="21" s="1"/>
  <c r="H78" i="21"/>
  <c r="J78" i="21" s="1"/>
  <c r="H79" i="21"/>
  <c r="J79" i="21" s="1"/>
  <c r="H95" i="21"/>
  <c r="I95" i="21" s="1"/>
  <c r="B97" i="21"/>
  <c r="F97" i="21" s="1"/>
  <c r="H53" i="16"/>
  <c r="J53" i="16" s="1"/>
  <c r="H55" i="16"/>
  <c r="J55" i="16" s="1"/>
  <c r="H57" i="16"/>
  <c r="J57" i="16" s="1"/>
  <c r="B75" i="16"/>
  <c r="C64" i="16"/>
  <c r="F64" i="16" s="1"/>
  <c r="H74" i="20"/>
  <c r="J74" i="20" s="1"/>
  <c r="C87" i="20"/>
  <c r="F87" i="20" s="1"/>
  <c r="C72" i="22"/>
  <c r="C60" i="16"/>
  <c r="H60" i="16" s="1"/>
  <c r="I60" i="16" s="1"/>
  <c r="J60" i="16" s="1"/>
  <c r="C53" i="17"/>
  <c r="C54" i="17"/>
  <c r="C55" i="17"/>
  <c r="C56" i="17"/>
  <c r="C57" i="17"/>
  <c r="C58" i="17"/>
  <c r="B54" i="16"/>
  <c r="B56" i="16"/>
  <c r="B58" i="16"/>
  <c r="H75" i="16"/>
  <c r="J75" i="16" s="1"/>
  <c r="B53" i="16"/>
  <c r="H54" i="16"/>
  <c r="J54" i="16" s="1"/>
  <c r="H56" i="16"/>
  <c r="J56" i="16" s="1"/>
  <c r="H58" i="16"/>
  <c r="J58" i="16" s="1"/>
  <c r="B74" i="16"/>
  <c r="B76" i="16"/>
  <c r="C53" i="16"/>
  <c r="B55" i="16"/>
  <c r="B57" i="16"/>
  <c r="H74" i="16"/>
  <c r="H73" i="16"/>
  <c r="H92" i="22"/>
  <c r="I92" i="22" s="1"/>
  <c r="J92" i="22" s="1"/>
  <c r="H61" i="18"/>
  <c r="I61" i="18" s="1"/>
  <c r="J61" i="18" s="1"/>
  <c r="H72" i="17"/>
  <c r="C62" i="16"/>
  <c r="F62" i="16" s="1"/>
  <c r="C66" i="16"/>
  <c r="F66" i="16" s="1"/>
  <c r="C70" i="16"/>
  <c r="F70" i="16" s="1"/>
  <c r="C74" i="16"/>
  <c r="C61" i="17"/>
  <c r="F61" i="17" s="1"/>
  <c r="C65" i="17"/>
  <c r="F65" i="17" s="1"/>
  <c r="C69" i="17"/>
  <c r="F69" i="17" s="1"/>
  <c r="C73" i="17"/>
  <c r="F73" i="17" s="1"/>
  <c r="B74" i="17"/>
  <c r="C73" i="18"/>
  <c r="H73" i="18" s="1"/>
  <c r="C72" i="18"/>
  <c r="H72" i="18" s="1"/>
  <c r="C68" i="18"/>
  <c r="F68" i="18" s="1"/>
  <c r="C64" i="18"/>
  <c r="H64" i="18" s="1"/>
  <c r="C60" i="18"/>
  <c r="F60" i="18" s="1"/>
  <c r="C76" i="18"/>
  <c r="C75" i="18"/>
  <c r="C71" i="18"/>
  <c r="F71" i="18" s="1"/>
  <c r="C67" i="18"/>
  <c r="F67" i="18" s="1"/>
  <c r="C63" i="18"/>
  <c r="F63" i="18" s="1"/>
  <c r="C59" i="18"/>
  <c r="F59" i="18" s="1"/>
  <c r="C58" i="18"/>
  <c r="F58" i="18" s="1"/>
  <c r="C57" i="18"/>
  <c r="C56" i="18"/>
  <c r="C55" i="18"/>
  <c r="C54" i="18"/>
  <c r="C53" i="18"/>
  <c r="B53" i="18"/>
  <c r="B57" i="18"/>
  <c r="C62" i="18"/>
  <c r="F62" i="18" s="1"/>
  <c r="C66" i="18"/>
  <c r="F66" i="18" s="1"/>
  <c r="C70" i="18"/>
  <c r="F70" i="18" s="1"/>
  <c r="C74" i="18"/>
  <c r="C54" i="16"/>
  <c r="C55" i="16"/>
  <c r="C56" i="16"/>
  <c r="C57" i="16"/>
  <c r="C58" i="16"/>
  <c r="C59" i="16"/>
  <c r="F59" i="16" s="1"/>
  <c r="C63" i="16"/>
  <c r="H63" i="16" s="1"/>
  <c r="C67" i="16"/>
  <c r="F67" i="16" s="1"/>
  <c r="C71" i="16"/>
  <c r="H71" i="16" s="1"/>
  <c r="C75" i="16"/>
  <c r="C76" i="16"/>
  <c r="J76" i="16"/>
  <c r="B53" i="17"/>
  <c r="B54" i="17"/>
  <c r="B55" i="17"/>
  <c r="B56" i="17"/>
  <c r="B57" i="17"/>
  <c r="B58" i="17"/>
  <c r="C62" i="17"/>
  <c r="H62" i="17" s="1"/>
  <c r="C66" i="17"/>
  <c r="H66" i="17" s="1"/>
  <c r="C70" i="17"/>
  <c r="H70" i="17" s="1"/>
  <c r="C74" i="17"/>
  <c r="H74" i="17"/>
  <c r="B75" i="17"/>
  <c r="B76" i="17"/>
  <c r="B54" i="18"/>
  <c r="F61" i="18"/>
  <c r="C68" i="16"/>
  <c r="H68" i="16" s="1"/>
  <c r="C72" i="16"/>
  <c r="H72" i="16" s="1"/>
  <c r="F73" i="16"/>
  <c r="C67" i="17"/>
  <c r="H67" i="17" s="1"/>
  <c r="C71" i="17"/>
  <c r="H71" i="17" s="1"/>
  <c r="F72" i="17"/>
  <c r="C75" i="17"/>
  <c r="H75" i="17"/>
  <c r="J75" i="17" s="1"/>
  <c r="C76" i="17"/>
  <c r="C69" i="18"/>
  <c r="H69" i="18" s="1"/>
  <c r="C69" i="16"/>
  <c r="C64" i="17"/>
  <c r="F64" i="17" s="1"/>
  <c r="C68" i="17"/>
  <c r="H68" i="17" s="1"/>
  <c r="B76" i="18"/>
  <c r="B75" i="18"/>
  <c r="H74" i="18"/>
  <c r="B74" i="18"/>
  <c r="H76" i="18"/>
  <c r="J76" i="18" s="1"/>
  <c r="H75" i="18"/>
  <c r="J75" i="18" s="1"/>
  <c r="H58" i="18"/>
  <c r="J58" i="18" s="1"/>
  <c r="H57" i="18"/>
  <c r="J57" i="18" s="1"/>
  <c r="H56" i="18"/>
  <c r="J56" i="18" s="1"/>
  <c r="H55" i="18"/>
  <c r="J55" i="18" s="1"/>
  <c r="H54" i="18"/>
  <c r="J54" i="18" s="1"/>
  <c r="H53" i="18"/>
  <c r="J53" i="18" s="1"/>
  <c r="B56" i="18"/>
  <c r="C81" i="19"/>
  <c r="F81" i="19" s="1"/>
  <c r="C85" i="19"/>
  <c r="H85" i="19" s="1"/>
  <c r="C89" i="19"/>
  <c r="F89" i="19" s="1"/>
  <c r="C93" i="19"/>
  <c r="F93" i="19" s="1"/>
  <c r="H97" i="20"/>
  <c r="J97" i="20" s="1"/>
  <c r="H96" i="20"/>
  <c r="J96" i="20" s="1"/>
  <c r="H79" i="20"/>
  <c r="J79" i="20" s="1"/>
  <c r="H78" i="20"/>
  <c r="J78" i="20" s="1"/>
  <c r="H77" i="20"/>
  <c r="J77" i="20" s="1"/>
  <c r="H76" i="20"/>
  <c r="J76" i="20" s="1"/>
  <c r="B79" i="20"/>
  <c r="C82" i="19"/>
  <c r="H82" i="19" s="1"/>
  <c r="C86" i="19"/>
  <c r="H86" i="19" s="1"/>
  <c r="C90" i="19"/>
  <c r="H90" i="19" s="1"/>
  <c r="C94" i="19"/>
  <c r="H94" i="19" s="1"/>
  <c r="B95" i="19"/>
  <c r="C93" i="20"/>
  <c r="H93" i="20" s="1"/>
  <c r="C89" i="20"/>
  <c r="H89" i="20" s="1"/>
  <c r="C85" i="20"/>
  <c r="H85" i="20" s="1"/>
  <c r="C81" i="20"/>
  <c r="F81" i="20" s="1"/>
  <c r="C97" i="20"/>
  <c r="C96" i="20"/>
  <c r="C92" i="20"/>
  <c r="F92" i="20" s="1"/>
  <c r="C88" i="20"/>
  <c r="H88" i="20" s="1"/>
  <c r="C84" i="20"/>
  <c r="F84" i="20" s="1"/>
  <c r="C80" i="20"/>
  <c r="F80" i="20" s="1"/>
  <c r="C79" i="20"/>
  <c r="C78" i="20"/>
  <c r="C77" i="20"/>
  <c r="C76" i="20"/>
  <c r="F76" i="20" s="1"/>
  <c r="C82" i="20"/>
  <c r="H82" i="20" s="1"/>
  <c r="C86" i="20"/>
  <c r="H86" i="20" s="1"/>
  <c r="C90" i="20"/>
  <c r="H90" i="20" s="1"/>
  <c r="C94" i="20"/>
  <c r="H94" i="20" s="1"/>
  <c r="B96" i="20"/>
  <c r="C83" i="19"/>
  <c r="H83" i="19" s="1"/>
  <c r="C87" i="19"/>
  <c r="H87" i="19" s="1"/>
  <c r="C91" i="19"/>
  <c r="H91" i="19" s="1"/>
  <c r="C95" i="19"/>
  <c r="B97" i="19"/>
  <c r="F97" i="19" s="1"/>
  <c r="C74" i="19"/>
  <c r="C75" i="19"/>
  <c r="C76" i="19"/>
  <c r="C77" i="19"/>
  <c r="C78" i="19"/>
  <c r="C79" i="19"/>
  <c r="C80" i="19"/>
  <c r="H80" i="19" s="1"/>
  <c r="C84" i="19"/>
  <c r="F84" i="19" s="1"/>
  <c r="C88" i="19"/>
  <c r="H88" i="19" s="1"/>
  <c r="C92" i="19"/>
  <c r="F92" i="19" s="1"/>
  <c r="C96" i="19"/>
  <c r="H96" i="19"/>
  <c r="J96" i="19" s="1"/>
  <c r="C95" i="20"/>
  <c r="C81" i="21"/>
  <c r="H81" i="21" s="1"/>
  <c r="C85" i="21"/>
  <c r="F85" i="21" s="1"/>
  <c r="C89" i="21"/>
  <c r="F89" i="21" s="1"/>
  <c r="C93" i="21"/>
  <c r="F93" i="21" s="1"/>
  <c r="C82" i="21"/>
  <c r="H82" i="21" s="1"/>
  <c r="C86" i="21"/>
  <c r="H86" i="21" s="1"/>
  <c r="C90" i="21"/>
  <c r="H90" i="21" s="1"/>
  <c r="C94" i="21"/>
  <c r="H94" i="21" s="1"/>
  <c r="B95" i="21"/>
  <c r="C83" i="21"/>
  <c r="H83" i="21" s="1"/>
  <c r="C87" i="21"/>
  <c r="H87" i="21" s="1"/>
  <c r="C91" i="21"/>
  <c r="H91" i="21" s="1"/>
  <c r="C95" i="21"/>
  <c r="C74" i="21"/>
  <c r="F74" i="21" s="1"/>
  <c r="C75" i="21"/>
  <c r="C76" i="21"/>
  <c r="C77" i="21"/>
  <c r="C78" i="21"/>
  <c r="C79" i="21"/>
  <c r="C80" i="21"/>
  <c r="H80" i="21" s="1"/>
  <c r="C84" i="21"/>
  <c r="H84" i="21" s="1"/>
  <c r="C88" i="21"/>
  <c r="H88" i="21" s="1"/>
  <c r="C92" i="21"/>
  <c r="H92" i="21" s="1"/>
  <c r="C96" i="21"/>
  <c r="H96" i="21"/>
  <c r="J96" i="21" s="1"/>
  <c r="F92" i="22"/>
  <c r="B72" i="22"/>
  <c r="B73" i="22"/>
  <c r="B74" i="22"/>
  <c r="B75" i="22"/>
  <c r="B76" i="22"/>
  <c r="B77" i="22"/>
  <c r="C81" i="22"/>
  <c r="F81" i="22" s="1"/>
  <c r="C85" i="22"/>
  <c r="H85" i="22" s="1"/>
  <c r="C89" i="22"/>
  <c r="F89" i="22" s="1"/>
  <c r="C93" i="22"/>
  <c r="F93" i="22" s="1"/>
  <c r="H93" i="22"/>
  <c r="B94" i="22"/>
  <c r="B95" i="22"/>
  <c r="C93" i="23"/>
  <c r="C89" i="23"/>
  <c r="H89" i="23" s="1"/>
  <c r="C85" i="23"/>
  <c r="H85" i="23" s="1"/>
  <c r="C81" i="23"/>
  <c r="H81" i="23" s="1"/>
  <c r="C92" i="23"/>
  <c r="F92" i="23" s="1"/>
  <c r="C88" i="23"/>
  <c r="H88" i="23" s="1"/>
  <c r="C84" i="23"/>
  <c r="F84" i="23" s="1"/>
  <c r="C80" i="23"/>
  <c r="F80" i="23" s="1"/>
  <c r="C91" i="23"/>
  <c r="F91" i="23" s="1"/>
  <c r="C87" i="23"/>
  <c r="H87" i="23" s="1"/>
  <c r="C83" i="23"/>
  <c r="F83" i="23" s="1"/>
  <c r="C95" i="23"/>
  <c r="C94" i="23"/>
  <c r="C90" i="23"/>
  <c r="H90" i="23" s="1"/>
  <c r="C86" i="23"/>
  <c r="H86" i="23" s="1"/>
  <c r="B72" i="23"/>
  <c r="B73" i="23"/>
  <c r="B74" i="23"/>
  <c r="B75" i="23"/>
  <c r="B76" i="23"/>
  <c r="B77" i="23"/>
  <c r="H77" i="23"/>
  <c r="J77" i="23" s="1"/>
  <c r="C78" i="23"/>
  <c r="H78" i="23" s="1"/>
  <c r="C82" i="23"/>
  <c r="H82" i="23" s="1"/>
  <c r="H72" i="22"/>
  <c r="J72" i="22" s="1"/>
  <c r="H73" i="22"/>
  <c r="J73" i="22" s="1"/>
  <c r="C74" i="22"/>
  <c r="H74" i="22"/>
  <c r="J74" i="22" s="1"/>
  <c r="C75" i="22"/>
  <c r="H75" i="22"/>
  <c r="J75" i="22" s="1"/>
  <c r="C76" i="22"/>
  <c r="H76" i="22"/>
  <c r="J76" i="22" s="1"/>
  <c r="C77" i="22"/>
  <c r="H77" i="22"/>
  <c r="J77" i="22" s="1"/>
  <c r="C78" i="22"/>
  <c r="H78" i="22" s="1"/>
  <c r="C82" i="22"/>
  <c r="H82" i="22" s="1"/>
  <c r="C86" i="22"/>
  <c r="H86" i="22" s="1"/>
  <c r="C90" i="22"/>
  <c r="H90" i="22" s="1"/>
  <c r="C94" i="22"/>
  <c r="H94" i="22"/>
  <c r="J94" i="22" s="1"/>
  <c r="C95" i="22"/>
  <c r="H95" i="22"/>
  <c r="J95" i="22" s="1"/>
  <c r="C72" i="23"/>
  <c r="H72" i="23"/>
  <c r="J72" i="23" s="1"/>
  <c r="C73" i="23"/>
  <c r="H73" i="23"/>
  <c r="J73" i="23" s="1"/>
  <c r="C74" i="23"/>
  <c r="H74" i="23"/>
  <c r="J74" i="23" s="1"/>
  <c r="C75" i="23"/>
  <c r="H75" i="23"/>
  <c r="J75" i="23" s="1"/>
  <c r="C76" i="23"/>
  <c r="C77" i="23"/>
  <c r="C79" i="22"/>
  <c r="H79" i="22" s="1"/>
  <c r="C83" i="22"/>
  <c r="F83" i="22" s="1"/>
  <c r="C87" i="22"/>
  <c r="H87" i="22" s="1"/>
  <c r="C91" i="22"/>
  <c r="H91" i="22" s="1"/>
  <c r="C79" i="23"/>
  <c r="H79" i="23" s="1"/>
  <c r="C80" i="22"/>
  <c r="H80" i="22" s="1"/>
  <c r="C84" i="22"/>
  <c r="H84" i="22" s="1"/>
  <c r="C88" i="22"/>
  <c r="H88" i="22" s="1"/>
  <c r="B95" i="23"/>
  <c r="B94" i="23"/>
  <c r="H93" i="23"/>
  <c r="B93" i="23"/>
  <c r="H95" i="23"/>
  <c r="J95" i="23" s="1"/>
  <c r="H94" i="23"/>
  <c r="J94" i="23" s="1"/>
  <c r="C72" i="24"/>
  <c r="H72" i="24"/>
  <c r="J72" i="24" s="1"/>
  <c r="C73" i="24"/>
  <c r="H73" i="24"/>
  <c r="J73" i="24" s="1"/>
  <c r="C74" i="24"/>
  <c r="H74" i="24"/>
  <c r="J74" i="24" s="1"/>
  <c r="C75" i="24"/>
  <c r="H75" i="24"/>
  <c r="J75" i="24" s="1"/>
  <c r="C76" i="24"/>
  <c r="H76" i="24"/>
  <c r="J76" i="24" s="1"/>
  <c r="C77" i="24"/>
  <c r="H77" i="24"/>
  <c r="J77" i="24" s="1"/>
  <c r="C78" i="24"/>
  <c r="F78" i="24" s="1"/>
  <c r="C82" i="24"/>
  <c r="F82" i="24" s="1"/>
  <c r="C86" i="24"/>
  <c r="F86" i="24" s="1"/>
  <c r="C90" i="24"/>
  <c r="H90" i="24" s="1"/>
  <c r="C94" i="24"/>
  <c r="H94" i="24"/>
  <c r="J94" i="24" s="1"/>
  <c r="C95" i="24"/>
  <c r="F95" i="24" s="1"/>
  <c r="H95" i="24"/>
  <c r="J95" i="24" s="1"/>
  <c r="C79" i="24"/>
  <c r="F79" i="24" s="1"/>
  <c r="C83" i="24"/>
  <c r="H83" i="24" s="1"/>
  <c r="C87" i="24"/>
  <c r="F87" i="24" s="1"/>
  <c r="C91" i="24"/>
  <c r="H91" i="24" s="1"/>
  <c r="C80" i="24"/>
  <c r="F80" i="24" s="1"/>
  <c r="C84" i="24"/>
  <c r="H84" i="24" s="1"/>
  <c r="C88" i="24"/>
  <c r="F88" i="24" s="1"/>
  <c r="C92" i="24"/>
  <c r="H92" i="24" s="1"/>
  <c r="B93" i="24"/>
  <c r="F93" i="24" s="1"/>
  <c r="B72" i="24"/>
  <c r="B73" i="24"/>
  <c r="B74" i="24"/>
  <c r="B75" i="24"/>
  <c r="B76" i="24"/>
  <c r="B77" i="24"/>
  <c r="C81" i="24"/>
  <c r="H81" i="24" s="1"/>
  <c r="C85" i="24"/>
  <c r="F85" i="24" s="1"/>
  <c r="C89" i="24"/>
  <c r="H89" i="24" s="1"/>
  <c r="H93" i="24"/>
  <c r="B94" i="24"/>
  <c r="F81" i="23" l="1"/>
  <c r="H83" i="20"/>
  <c r="I83" i="20" s="1"/>
  <c r="J83" i="20" s="1"/>
  <c r="F79" i="19"/>
  <c r="F61" i="16"/>
  <c r="F72" i="22"/>
  <c r="F79" i="21"/>
  <c r="F97" i="20"/>
  <c r="H64" i="16"/>
  <c r="F78" i="21"/>
  <c r="F60" i="16"/>
  <c r="F73" i="22"/>
  <c r="H59" i="17"/>
  <c r="I59" i="17" s="1"/>
  <c r="F77" i="19"/>
  <c r="F56" i="17"/>
  <c r="F74" i="20"/>
  <c r="H80" i="23"/>
  <c r="I80" i="23" s="1"/>
  <c r="J80" i="23" s="1"/>
  <c r="H92" i="20"/>
  <c r="I92" i="20" s="1"/>
  <c r="J92" i="20" s="1"/>
  <c r="H63" i="18"/>
  <c r="F55" i="17"/>
  <c r="F95" i="20"/>
  <c r="F78" i="19"/>
  <c r="F64" i="18"/>
  <c r="F65" i="16"/>
  <c r="F55" i="18"/>
  <c r="F74" i="16"/>
  <c r="H89" i="21"/>
  <c r="F72" i="18"/>
  <c r="F96" i="19"/>
  <c r="F56" i="18"/>
  <c r="F76" i="18"/>
  <c r="F82" i="23"/>
  <c r="F95" i="23"/>
  <c r="F96" i="21"/>
  <c r="F76" i="21"/>
  <c r="F77" i="20"/>
  <c r="F60" i="17"/>
  <c r="F89" i="23"/>
  <c r="F78" i="20"/>
  <c r="J95" i="19"/>
  <c r="F57" i="17"/>
  <c r="F53" i="17"/>
  <c r="F65" i="18"/>
  <c r="H66" i="16"/>
  <c r="H71" i="18"/>
  <c r="I71" i="18" s="1"/>
  <c r="J71" i="18" s="1"/>
  <c r="F94" i="24"/>
  <c r="F89" i="20"/>
  <c r="F54" i="18"/>
  <c r="F77" i="21"/>
  <c r="F95" i="21"/>
  <c r="H86" i="24"/>
  <c r="F87" i="23"/>
  <c r="H84" i="20"/>
  <c r="F75" i="18"/>
  <c r="H59" i="18"/>
  <c r="I59" i="18" s="1"/>
  <c r="J59" i="18" s="1"/>
  <c r="H68" i="18"/>
  <c r="H69" i="17"/>
  <c r="F76" i="19"/>
  <c r="H93" i="19"/>
  <c r="I93" i="19" s="1"/>
  <c r="J93" i="19" s="1"/>
  <c r="H81" i="19"/>
  <c r="I81" i="19" s="1"/>
  <c r="J81" i="19" s="1"/>
  <c r="F88" i="23"/>
  <c r="F90" i="23"/>
  <c r="F93" i="20"/>
  <c r="F74" i="24"/>
  <c r="H84" i="23"/>
  <c r="F85" i="20"/>
  <c r="F75" i="19"/>
  <c r="F85" i="23"/>
  <c r="F86" i="23"/>
  <c r="H83" i="23"/>
  <c r="F92" i="21"/>
  <c r="F74" i="19"/>
  <c r="F76" i="24"/>
  <c r="F72" i="24"/>
  <c r="H78" i="24"/>
  <c r="I78" i="24" s="1"/>
  <c r="F78" i="23"/>
  <c r="F75" i="21"/>
  <c r="F82" i="21"/>
  <c r="H87" i="24"/>
  <c r="F94" i="23"/>
  <c r="H91" i="23"/>
  <c r="I91" i="23" s="1"/>
  <c r="J91" i="23" s="1"/>
  <c r="F76" i="23"/>
  <c r="F72" i="23"/>
  <c r="F76" i="22"/>
  <c r="H81" i="20"/>
  <c r="I81" i="20" s="1"/>
  <c r="J81" i="20" s="1"/>
  <c r="F74" i="18"/>
  <c r="F73" i="18"/>
  <c r="H60" i="18"/>
  <c r="I60" i="18" s="1"/>
  <c r="J60" i="18" s="1"/>
  <c r="H87" i="20"/>
  <c r="H63" i="17"/>
  <c r="F73" i="24"/>
  <c r="H79" i="24"/>
  <c r="F79" i="22"/>
  <c r="H92" i="23"/>
  <c r="I92" i="23" s="1"/>
  <c r="J92" i="23" s="1"/>
  <c r="J95" i="21"/>
  <c r="F91" i="20"/>
  <c r="H67" i="18"/>
  <c r="F57" i="18"/>
  <c r="H73" i="17"/>
  <c r="I73" i="17" s="1"/>
  <c r="J73" i="17" s="1"/>
  <c r="F77" i="24"/>
  <c r="F75" i="24"/>
  <c r="F91" i="24"/>
  <c r="F83" i="24"/>
  <c r="F93" i="23"/>
  <c r="F79" i="23"/>
  <c r="F87" i="22"/>
  <c r="F74" i="23"/>
  <c r="F84" i="21"/>
  <c r="H93" i="21"/>
  <c r="I93" i="21" s="1"/>
  <c r="J93" i="21" s="1"/>
  <c r="H89" i="19"/>
  <c r="F58" i="17"/>
  <c r="F54" i="17"/>
  <c r="H70" i="18"/>
  <c r="F69" i="16"/>
  <c r="H69" i="16"/>
  <c r="H70" i="16"/>
  <c r="H67" i="16"/>
  <c r="H62" i="16"/>
  <c r="I62" i="16" s="1"/>
  <c r="J62" i="16" s="1"/>
  <c r="H59" i="16"/>
  <c r="I80" i="21"/>
  <c r="I80" i="19"/>
  <c r="I92" i="21"/>
  <c r="J92" i="21" s="1"/>
  <c r="I81" i="21"/>
  <c r="J81" i="21" s="1"/>
  <c r="I62" i="17"/>
  <c r="J62" i="17" s="1"/>
  <c r="I79" i="22"/>
  <c r="J79" i="22" s="1"/>
  <c r="I91" i="22"/>
  <c r="J91" i="22" s="1"/>
  <c r="I81" i="24"/>
  <c r="J81" i="24" s="1"/>
  <c r="I92" i="24"/>
  <c r="J92" i="24" s="1"/>
  <c r="I91" i="24"/>
  <c r="J91" i="24" s="1"/>
  <c r="I82" i="21"/>
  <c r="J82" i="21" s="1"/>
  <c r="I79" i="23"/>
  <c r="J79" i="23" s="1"/>
  <c r="I79" i="24"/>
  <c r="J79" i="24" s="1"/>
  <c r="H80" i="24"/>
  <c r="F85" i="22"/>
  <c r="F88" i="21"/>
  <c r="F80" i="21"/>
  <c r="F90" i="22"/>
  <c r="H83" i="22"/>
  <c r="F91" i="21"/>
  <c r="I83" i="19"/>
  <c r="J83" i="19" s="1"/>
  <c r="F81" i="21"/>
  <c r="I82" i="20"/>
  <c r="J82" i="20" s="1"/>
  <c r="F90" i="20"/>
  <c r="F82" i="19"/>
  <c r="I74" i="18"/>
  <c r="J74" i="18" s="1"/>
  <c r="F91" i="19"/>
  <c r="I71" i="17"/>
  <c r="J71" i="17" s="1"/>
  <c r="F88" i="20"/>
  <c r="H92" i="19"/>
  <c r="F69" i="18"/>
  <c r="H62" i="18"/>
  <c r="F53" i="18"/>
  <c r="F66" i="17"/>
  <c r="H61" i="17"/>
  <c r="F75" i="16"/>
  <c r="F63" i="16"/>
  <c r="F58" i="16"/>
  <c r="F54" i="16"/>
  <c r="I73" i="16"/>
  <c r="J73" i="16" s="1"/>
  <c r="F71" i="17"/>
  <c r="H64" i="17"/>
  <c r="F92" i="24"/>
  <c r="F84" i="24"/>
  <c r="I90" i="24"/>
  <c r="J90" i="24" s="1"/>
  <c r="I80" i="22"/>
  <c r="J80" i="22" s="1"/>
  <c r="I93" i="24"/>
  <c r="J93" i="24" s="1"/>
  <c r="F89" i="24"/>
  <c r="F81" i="24"/>
  <c r="H82" i="24"/>
  <c r="I81" i="23"/>
  <c r="J81" i="23" s="1"/>
  <c r="I78" i="22"/>
  <c r="J78" i="22" s="1"/>
  <c r="F90" i="24"/>
  <c r="I78" i="23"/>
  <c r="J78" i="23" s="1"/>
  <c r="F75" i="23"/>
  <c r="F95" i="22"/>
  <c r="H89" i="22"/>
  <c r="H81" i="22"/>
  <c r="F75" i="22"/>
  <c r="F88" i="22"/>
  <c r="F86" i="22"/>
  <c r="H85" i="21"/>
  <c r="F87" i="21"/>
  <c r="F88" i="19"/>
  <c r="F80" i="19"/>
  <c r="F96" i="20"/>
  <c r="H80" i="20"/>
  <c r="F95" i="19"/>
  <c r="F94" i="21"/>
  <c r="F86" i="20"/>
  <c r="F94" i="19"/>
  <c r="F87" i="19"/>
  <c r="F68" i="17"/>
  <c r="F76" i="17"/>
  <c r="F85" i="19"/>
  <c r="I72" i="18"/>
  <c r="J72" i="18" s="1"/>
  <c r="H66" i="18"/>
  <c r="I73" i="18"/>
  <c r="J73" i="18" s="1"/>
  <c r="F70" i="17"/>
  <c r="H65" i="17"/>
  <c r="I74" i="16"/>
  <c r="J74" i="16" s="1"/>
  <c r="F57" i="16"/>
  <c r="F53" i="16"/>
  <c r="F67" i="17"/>
  <c r="H88" i="24"/>
  <c r="H85" i="24"/>
  <c r="F91" i="22"/>
  <c r="I90" i="23"/>
  <c r="J90" i="23" s="1"/>
  <c r="F94" i="22"/>
  <c r="F74" i="22"/>
  <c r="F84" i="22"/>
  <c r="F82" i="22"/>
  <c r="F83" i="21"/>
  <c r="I94" i="20"/>
  <c r="J94" i="20" s="1"/>
  <c r="I94" i="19"/>
  <c r="J94" i="19" s="1"/>
  <c r="I82" i="19"/>
  <c r="J82" i="19" s="1"/>
  <c r="F90" i="21"/>
  <c r="F82" i="20"/>
  <c r="F90" i="19"/>
  <c r="F83" i="19"/>
  <c r="I72" i="16"/>
  <c r="J72" i="16" s="1"/>
  <c r="H84" i="19"/>
  <c r="F75" i="17"/>
  <c r="I71" i="16"/>
  <c r="J71" i="16" s="1"/>
  <c r="F74" i="17"/>
  <c r="F56" i="16"/>
  <c r="I72" i="17"/>
  <c r="J72" i="17" s="1"/>
  <c r="F72" i="16"/>
  <c r="I93" i="23"/>
  <c r="J93" i="23" s="1"/>
  <c r="I90" i="22"/>
  <c r="J90" i="22" s="1"/>
  <c r="F77" i="23"/>
  <c r="F73" i="23"/>
  <c r="I93" i="22"/>
  <c r="J93" i="22" s="1"/>
  <c r="F77" i="22"/>
  <c r="F80" i="22"/>
  <c r="I83" i="21"/>
  <c r="J83" i="21" s="1"/>
  <c r="F78" i="22"/>
  <c r="I94" i="21"/>
  <c r="J94" i="21" s="1"/>
  <c r="I93" i="20"/>
  <c r="J93" i="20" s="1"/>
  <c r="F86" i="21"/>
  <c r="F94" i="20"/>
  <c r="F79" i="20"/>
  <c r="F86" i="19"/>
  <c r="I74" i="17"/>
  <c r="J74" i="17" s="1"/>
  <c r="F62" i="17"/>
  <c r="F76" i="16"/>
  <c r="F55" i="16"/>
  <c r="F71" i="16"/>
  <c r="F68" i="16"/>
  <c r="C16" i="8"/>
  <c r="C7" i="8"/>
  <c r="C6" i="8"/>
  <c r="C8" i="8" l="1"/>
  <c r="C21" i="8" s="1"/>
  <c r="J59" i="17"/>
  <c r="I88" i="23"/>
  <c r="J88" i="23" s="1"/>
  <c r="I86" i="23"/>
  <c r="J86" i="23" s="1"/>
  <c r="I84" i="23"/>
  <c r="J84" i="23" s="1"/>
  <c r="I82" i="23"/>
  <c r="J82" i="23" s="1"/>
  <c r="I87" i="23"/>
  <c r="J87" i="23" s="1"/>
  <c r="I89" i="23"/>
  <c r="J89" i="23" s="1"/>
  <c r="I83" i="23"/>
  <c r="J83" i="23" s="1"/>
  <c r="I85" i="23"/>
  <c r="J85" i="23" s="1"/>
  <c r="I61" i="17"/>
  <c r="I91" i="21"/>
  <c r="J91" i="21" s="1"/>
  <c r="I87" i="21"/>
  <c r="J87" i="21" s="1"/>
  <c r="I90" i="21"/>
  <c r="J90" i="21" s="1"/>
  <c r="I86" i="21"/>
  <c r="J86" i="21" s="1"/>
  <c r="I89" i="21"/>
  <c r="J89" i="21" s="1"/>
  <c r="I84" i="21"/>
  <c r="J84" i="21" s="1"/>
  <c r="I85" i="21"/>
  <c r="J85" i="21" s="1"/>
  <c r="I88" i="21"/>
  <c r="J88" i="21" s="1"/>
  <c r="I59" i="16"/>
  <c r="J80" i="21"/>
  <c r="I92" i="19"/>
  <c r="I87" i="19" s="1"/>
  <c r="J87" i="19" s="1"/>
  <c r="I80" i="24"/>
  <c r="I89" i="24" s="1"/>
  <c r="J89" i="24" s="1"/>
  <c r="J78" i="24"/>
  <c r="I80" i="20"/>
  <c r="J80" i="20" s="1"/>
  <c r="I81" i="22"/>
  <c r="J81" i="22" s="1"/>
  <c r="I62" i="18"/>
  <c r="I68" i="18" s="1"/>
  <c r="J68" i="18" s="1"/>
  <c r="J80" i="19"/>
  <c r="J62" i="18" l="1"/>
  <c r="I85" i="22"/>
  <c r="J85" i="22" s="1"/>
  <c r="I90" i="19"/>
  <c r="J90" i="19" s="1"/>
  <c r="I87" i="22"/>
  <c r="J87" i="22" s="1"/>
  <c r="J80" i="24"/>
  <c r="I86" i="22"/>
  <c r="J86" i="22" s="1"/>
  <c r="I85" i="19"/>
  <c r="J85" i="19" s="1"/>
  <c r="I86" i="19"/>
  <c r="J86" i="19" s="1"/>
  <c r="I84" i="22"/>
  <c r="J84" i="22" s="1"/>
  <c r="I89" i="19"/>
  <c r="J89" i="19" s="1"/>
  <c r="I85" i="24"/>
  <c r="J85" i="24" s="1"/>
  <c r="I82" i="24"/>
  <c r="J82" i="24" s="1"/>
  <c r="I89" i="22"/>
  <c r="J89" i="22" s="1"/>
  <c r="I88" i="22"/>
  <c r="J88" i="22" s="1"/>
  <c r="I88" i="19"/>
  <c r="J88" i="19" s="1"/>
  <c r="I91" i="19"/>
  <c r="J91" i="19" s="1"/>
  <c r="I88" i="24"/>
  <c r="J88" i="24" s="1"/>
  <c r="I87" i="24"/>
  <c r="J87" i="24" s="1"/>
  <c r="I66" i="18"/>
  <c r="J66" i="18" s="1"/>
  <c r="I65" i="18"/>
  <c r="J65" i="18" s="1"/>
  <c r="I91" i="20"/>
  <c r="J91" i="20" s="1"/>
  <c r="I90" i="20"/>
  <c r="J90" i="20" s="1"/>
  <c r="I87" i="20"/>
  <c r="J87" i="20" s="1"/>
  <c r="I86" i="20"/>
  <c r="J86" i="20" s="1"/>
  <c r="I88" i="20"/>
  <c r="J88" i="20" s="1"/>
  <c r="I89" i="20"/>
  <c r="J89" i="20" s="1"/>
  <c r="I84" i="20"/>
  <c r="J84" i="20" s="1"/>
  <c r="I85" i="20"/>
  <c r="J85" i="20" s="1"/>
  <c r="I70" i="17"/>
  <c r="J70" i="17" s="1"/>
  <c r="I65" i="17"/>
  <c r="J65" i="17" s="1"/>
  <c r="I67" i="17"/>
  <c r="J67" i="17" s="1"/>
  <c r="I63" i="17"/>
  <c r="J63" i="17" s="1"/>
  <c r="I64" i="17"/>
  <c r="J64" i="17" s="1"/>
  <c r="I66" i="17"/>
  <c r="J66" i="17" s="1"/>
  <c r="I68" i="17"/>
  <c r="J68" i="17" s="1"/>
  <c r="I69" i="17"/>
  <c r="J69" i="17" s="1"/>
  <c r="I63" i="18"/>
  <c r="J63" i="18" s="1"/>
  <c r="I69" i="18"/>
  <c r="J69" i="18" s="1"/>
  <c r="J92" i="19"/>
  <c r="I83" i="24"/>
  <c r="J83" i="24" s="1"/>
  <c r="I84" i="24"/>
  <c r="J84" i="24" s="1"/>
  <c r="I67" i="16"/>
  <c r="J67" i="16" s="1"/>
  <c r="I69" i="16"/>
  <c r="J69" i="16" s="1"/>
  <c r="I63" i="16"/>
  <c r="J63" i="16" s="1"/>
  <c r="I65" i="16"/>
  <c r="J65" i="16" s="1"/>
  <c r="I68" i="16"/>
  <c r="J68" i="16" s="1"/>
  <c r="I70" i="16"/>
  <c r="J70" i="16" s="1"/>
  <c r="I64" i="16"/>
  <c r="J64" i="16" s="1"/>
  <c r="I66" i="16"/>
  <c r="J66" i="16" s="1"/>
  <c r="J61" i="17"/>
  <c r="I70" i="18"/>
  <c r="J70" i="18" s="1"/>
  <c r="I64" i="18"/>
  <c r="J64" i="18" s="1"/>
  <c r="I83" i="22"/>
  <c r="J83" i="22" s="1"/>
  <c r="I82" i="22"/>
  <c r="J82" i="22" s="1"/>
  <c r="I84" i="19"/>
  <c r="J84" i="19" s="1"/>
  <c r="I86" i="24"/>
  <c r="J86" i="24" s="1"/>
  <c r="J59" i="16"/>
  <c r="I67" i="18"/>
  <c r="J67" i="18" s="1"/>
  <c r="AC19" i="1"/>
  <c r="Z25" i="1"/>
  <c r="I45" i="4"/>
  <c r="F5" i="4"/>
  <c r="S5" i="4" s="1"/>
  <c r="F46" i="4"/>
  <c r="F47" i="4"/>
  <c r="F48" i="4"/>
  <c r="F49" i="4"/>
  <c r="F50" i="4"/>
  <c r="F51" i="4"/>
  <c r="F52" i="4"/>
  <c r="F53" i="4"/>
  <c r="F54" i="4"/>
  <c r="F55" i="4"/>
  <c r="F56" i="4"/>
  <c r="F57" i="4"/>
  <c r="F58" i="4"/>
  <c r="Z58" i="4" s="1"/>
  <c r="X21" i="1" s="1"/>
  <c r="F59" i="4"/>
  <c r="Z59" i="4" s="1"/>
  <c r="X22" i="1" s="1"/>
  <c r="F60" i="4"/>
  <c r="Z60" i="4" s="1"/>
  <c r="X23" i="1" s="1"/>
  <c r="F61" i="4"/>
  <c r="Z61" i="4" s="1"/>
  <c r="X24" i="1" s="1"/>
  <c r="F62" i="4"/>
  <c r="Z62" i="4" s="1"/>
  <c r="X25" i="1" s="1"/>
  <c r="F63" i="4"/>
  <c r="F64" i="4"/>
  <c r="Z64" i="4" s="1"/>
  <c r="X27" i="1" s="1"/>
  <c r="F65" i="4"/>
  <c r="F66" i="4"/>
  <c r="F67" i="4"/>
  <c r="F68" i="4"/>
  <c r="F45" i="4"/>
  <c r="I50" i="4"/>
  <c r="F10" i="4"/>
  <c r="S10" i="4" s="1"/>
  <c r="F19" i="4"/>
  <c r="Y19" i="4" s="1"/>
  <c r="AE19" i="4" s="1"/>
  <c r="AK19" i="4" s="1"/>
  <c r="G6" i="4"/>
  <c r="T6" i="4" s="1"/>
  <c r="I53" i="4"/>
  <c r="I54" i="4"/>
  <c r="I46" i="4"/>
  <c r="I47" i="4"/>
  <c r="I66" i="4"/>
  <c r="I67" i="4"/>
  <c r="I49" i="4"/>
  <c r="I48" i="4"/>
  <c r="I68" i="4"/>
  <c r="B6" i="4"/>
  <c r="B7" i="4"/>
  <c r="B8" i="4"/>
  <c r="B9" i="4"/>
  <c r="B10" i="4"/>
  <c r="B11" i="4"/>
  <c r="B12" i="4"/>
  <c r="B13" i="4"/>
  <c r="B14" i="4"/>
  <c r="B15" i="4"/>
  <c r="B16" i="4"/>
  <c r="B17" i="4"/>
  <c r="B18" i="4"/>
  <c r="B19" i="4"/>
  <c r="B20" i="4"/>
  <c r="B21" i="4"/>
  <c r="B22" i="4"/>
  <c r="B23" i="4"/>
  <c r="B24" i="4"/>
  <c r="B25" i="4"/>
  <c r="B26" i="4"/>
  <c r="B27" i="4"/>
  <c r="B28" i="4"/>
  <c r="B5" i="4"/>
  <c r="G7" i="4"/>
  <c r="F7" i="4"/>
  <c r="Y7" i="4" s="1"/>
  <c r="AE7" i="4" s="1"/>
  <c r="AK7" i="4" s="1"/>
  <c r="G5" i="4"/>
  <c r="T5" i="4" s="1"/>
  <c r="G8" i="4"/>
  <c r="Z8" i="4" s="1"/>
  <c r="AF8" i="4" s="1"/>
  <c r="AL8" i="4" s="1"/>
  <c r="G9" i="4"/>
  <c r="Z9" i="4" s="1"/>
  <c r="AF9" i="4" s="1"/>
  <c r="AL9" i="4" s="1"/>
  <c r="G10" i="4"/>
  <c r="Z10" i="4" s="1"/>
  <c r="AF10" i="4" s="1"/>
  <c r="AL10" i="4" s="1"/>
  <c r="G11" i="4"/>
  <c r="Z11" i="4" s="1"/>
  <c r="AF11" i="4" s="1"/>
  <c r="AL11" i="4" s="1"/>
  <c r="G12" i="4"/>
  <c r="Z12" i="4" s="1"/>
  <c r="AF12" i="4" s="1"/>
  <c r="AL12" i="4" s="1"/>
  <c r="G13" i="4"/>
  <c r="T13" i="4" s="1"/>
  <c r="G14" i="4"/>
  <c r="T14" i="4" s="1"/>
  <c r="G15" i="4"/>
  <c r="Z15" i="4" s="1"/>
  <c r="AF15" i="4" s="1"/>
  <c r="AL15" i="4" s="1"/>
  <c r="G16" i="4"/>
  <c r="Z16" i="4" s="1"/>
  <c r="AF16" i="4" s="1"/>
  <c r="AL16" i="4" s="1"/>
  <c r="G17" i="4"/>
  <c r="T17" i="4" s="1"/>
  <c r="G18" i="4"/>
  <c r="T18" i="4" s="1"/>
  <c r="G19" i="4"/>
  <c r="Z19" i="4" s="1"/>
  <c r="AF19" i="4" s="1"/>
  <c r="AL19" i="4" s="1"/>
  <c r="G20" i="4"/>
  <c r="Z20" i="4" s="1"/>
  <c r="AF20" i="4" s="1"/>
  <c r="AL20" i="4" s="1"/>
  <c r="G21" i="4"/>
  <c r="Z21" i="4" s="1"/>
  <c r="AF21" i="4" s="1"/>
  <c r="AL21" i="4" s="1"/>
  <c r="G22" i="4"/>
  <c r="T22" i="4" s="1"/>
  <c r="G23" i="4"/>
  <c r="Z23" i="4" s="1"/>
  <c r="AF23" i="4" s="1"/>
  <c r="AL23" i="4" s="1"/>
  <c r="G24" i="4"/>
  <c r="Z24" i="4" s="1"/>
  <c r="AF24" i="4" s="1"/>
  <c r="AL24" i="4" s="1"/>
  <c r="G25" i="4"/>
  <c r="T25" i="4" s="1"/>
  <c r="G26" i="4"/>
  <c r="T26" i="4" s="1"/>
  <c r="G27" i="4"/>
  <c r="Z27" i="4" s="1"/>
  <c r="AF27" i="4" s="1"/>
  <c r="AL27" i="4" s="1"/>
  <c r="G28" i="4"/>
  <c r="Z28" i="4" s="1"/>
  <c r="AF28" i="4" s="1"/>
  <c r="AL28" i="4" s="1"/>
  <c r="F6" i="4"/>
  <c r="Y6" i="4" s="1"/>
  <c r="AE6" i="4" s="1"/>
  <c r="AK6" i="4" s="1"/>
  <c r="F8" i="4"/>
  <c r="F9" i="4"/>
  <c r="Y9" i="4" s="1"/>
  <c r="AE9" i="4" s="1"/>
  <c r="AK9" i="4" s="1"/>
  <c r="F11" i="4"/>
  <c r="Y11" i="4" s="1"/>
  <c r="AE11" i="4" s="1"/>
  <c r="AK11" i="4" s="1"/>
  <c r="F12" i="4"/>
  <c r="F13" i="4"/>
  <c r="Y13" i="4" s="1"/>
  <c r="AE13" i="4" s="1"/>
  <c r="AK13" i="4" s="1"/>
  <c r="F14" i="4"/>
  <c r="S14" i="4" s="1"/>
  <c r="F15" i="4"/>
  <c r="Y15" i="4" s="1"/>
  <c r="AE15" i="4" s="1"/>
  <c r="AK15" i="4" s="1"/>
  <c r="F16" i="4"/>
  <c r="S16" i="4" s="1"/>
  <c r="F17" i="4"/>
  <c r="Y17" i="4" s="1"/>
  <c r="AE17" i="4" s="1"/>
  <c r="AK17" i="4" s="1"/>
  <c r="F18" i="4"/>
  <c r="S18" i="4" s="1"/>
  <c r="F20" i="4"/>
  <c r="S20" i="4" s="1"/>
  <c r="F21" i="4"/>
  <c r="Y21" i="4" s="1"/>
  <c r="AE21" i="4" s="1"/>
  <c r="AK21" i="4" s="1"/>
  <c r="F22" i="4"/>
  <c r="Y22" i="4" s="1"/>
  <c r="AE22" i="4" s="1"/>
  <c r="AK22" i="4" s="1"/>
  <c r="F23" i="4"/>
  <c r="Y23" i="4" s="1"/>
  <c r="AE23" i="4" s="1"/>
  <c r="AK23" i="4" s="1"/>
  <c r="F24" i="4"/>
  <c r="S24" i="4" s="1"/>
  <c r="F25" i="4"/>
  <c r="S25" i="4" s="1"/>
  <c r="F26" i="4"/>
  <c r="S26" i="4" s="1"/>
  <c r="F27" i="4"/>
  <c r="Y27" i="4" s="1"/>
  <c r="AE27" i="4" s="1"/>
  <c r="AK27" i="4" s="1"/>
  <c r="F28" i="4"/>
  <c r="S28" i="4" s="1"/>
  <c r="T9" i="4"/>
  <c r="C7" i="3"/>
  <c r="C8" i="3"/>
  <c r="C9" i="3"/>
  <c r="C10" i="3"/>
  <c r="C11" i="3"/>
  <c r="C12" i="3"/>
  <c r="C13" i="3"/>
  <c r="C14" i="3"/>
  <c r="C15" i="3"/>
  <c r="C16" i="3"/>
  <c r="C17" i="3"/>
  <c r="C18" i="3"/>
  <c r="C19" i="3"/>
  <c r="H19" i="3" s="1"/>
  <c r="C20" i="3"/>
  <c r="H20" i="3" s="1"/>
  <c r="C21" i="3"/>
  <c r="H21" i="3" s="1"/>
  <c r="C22" i="3"/>
  <c r="H22" i="3" s="1"/>
  <c r="C23" i="3"/>
  <c r="H23" i="3" s="1"/>
  <c r="C24" i="3"/>
  <c r="C25" i="3"/>
  <c r="H25" i="3" s="1"/>
  <c r="C26" i="3"/>
  <c r="C27" i="3"/>
  <c r="C28" i="3"/>
  <c r="C29" i="3"/>
  <c r="C6" i="3"/>
  <c r="F27" i="3"/>
  <c r="F25" i="3"/>
  <c r="F23" i="3"/>
  <c r="F21" i="3"/>
  <c r="F17" i="3"/>
  <c r="F15" i="3"/>
  <c r="F13" i="3"/>
  <c r="F11" i="3"/>
  <c r="F9" i="3"/>
  <c r="F7" i="3"/>
  <c r="F19" i="3"/>
  <c r="E7" i="3"/>
  <c r="F28" i="3"/>
  <c r="F6" i="3"/>
  <c r="F8" i="3"/>
  <c r="F10" i="3"/>
  <c r="F12" i="3"/>
  <c r="F14" i="3"/>
  <c r="F16" i="3"/>
  <c r="F18" i="3"/>
  <c r="F20" i="3"/>
  <c r="F22" i="3"/>
  <c r="F24" i="3"/>
  <c r="F26" i="3"/>
  <c r="F29" i="3"/>
  <c r="E10" i="3"/>
  <c r="E8" i="3"/>
  <c r="E26" i="3"/>
  <c r="E11" i="3"/>
  <c r="E12" i="3"/>
  <c r="E27" i="3"/>
  <c r="E29" i="3"/>
  <c r="E9" i="3"/>
  <c r="E28" i="3"/>
  <c r="E18" i="3"/>
  <c r="E21" i="3"/>
  <c r="E16" i="3"/>
  <c r="E24" i="3"/>
  <c r="E22" i="3"/>
  <c r="E15" i="3"/>
  <c r="E17" i="3"/>
  <c r="E25" i="3"/>
  <c r="E20" i="3"/>
  <c r="E19" i="3"/>
  <c r="E23" i="3"/>
  <c r="E14" i="3"/>
  <c r="E13" i="3"/>
  <c r="E6" i="3"/>
  <c r="J60" i="4"/>
  <c r="E132" i="15" s="1"/>
  <c r="J58" i="4"/>
  <c r="E130" i="15" s="1"/>
  <c r="J63" i="4"/>
  <c r="E135" i="15" s="1"/>
  <c r="J61" i="4"/>
  <c r="E133" i="15" s="1"/>
  <c r="J62" i="4"/>
  <c r="E134" i="15" s="1"/>
  <c r="J64" i="4"/>
  <c r="E136" i="15" s="1"/>
  <c r="J59" i="4"/>
  <c r="E131" i="15" s="1"/>
  <c r="T21" i="4" l="1"/>
  <c r="T27" i="4"/>
  <c r="T16" i="4"/>
  <c r="H7" i="4"/>
  <c r="T20" i="4"/>
  <c r="T19" i="4"/>
  <c r="T11" i="4"/>
  <c r="T15" i="4"/>
  <c r="T12" i="4"/>
  <c r="T24" i="4"/>
  <c r="T23" i="4"/>
  <c r="Z22" i="4"/>
  <c r="AF22" i="4" s="1"/>
  <c r="AL22" i="4" s="1"/>
  <c r="Z13" i="4"/>
  <c r="AF13" i="4" s="1"/>
  <c r="AL13" i="4" s="1"/>
  <c r="H12" i="4"/>
  <c r="T28" i="4"/>
  <c r="T8" i="4"/>
  <c r="H8" i="4"/>
  <c r="T7" i="4"/>
  <c r="Z7" i="4"/>
  <c r="AF7" i="4" s="1"/>
  <c r="AL7" i="4" s="1"/>
  <c r="Z6" i="4"/>
  <c r="AF6" i="4" s="1"/>
  <c r="AL6" i="4" s="1"/>
  <c r="Z14" i="4"/>
  <c r="AF14" i="4" s="1"/>
  <c r="AL14" i="4" s="1"/>
  <c r="Z18" i="4"/>
  <c r="AF18" i="4" s="1"/>
  <c r="AL18" i="4" s="1"/>
  <c r="Z17" i="4"/>
  <c r="AF17" i="4" s="1"/>
  <c r="AL17" i="4" s="1"/>
  <c r="T10" i="4"/>
  <c r="F30" i="3"/>
  <c r="S7" i="4"/>
  <c r="H18" i="4"/>
  <c r="S23" i="4"/>
  <c r="Z26" i="4"/>
  <c r="AF26" i="4" s="1"/>
  <c r="AL26" i="4" s="1"/>
  <c r="Z25" i="4"/>
  <c r="AF25" i="4" s="1"/>
  <c r="AL25" i="4" s="1"/>
  <c r="Y25" i="4"/>
  <c r="AE25" i="4" s="1"/>
  <c r="AK25" i="4" s="1"/>
  <c r="E30" i="3"/>
  <c r="S22" i="4"/>
  <c r="Y14" i="4"/>
  <c r="AE14" i="4" s="1"/>
  <c r="AK14" i="4" s="1"/>
  <c r="S9" i="4"/>
  <c r="H13" i="4"/>
  <c r="S8" i="4"/>
  <c r="S17" i="4"/>
  <c r="H17" i="4"/>
  <c r="S13" i="4"/>
  <c r="Y10" i="4"/>
  <c r="AE10" i="4" s="1"/>
  <c r="AK10" i="4" s="1"/>
  <c r="H10" i="4"/>
  <c r="Y8" i="4"/>
  <c r="AE8" i="4" s="1"/>
  <c r="AK8" i="4" s="1"/>
  <c r="S21" i="4"/>
  <c r="H24" i="4"/>
  <c r="H28" i="4"/>
  <c r="Y12" i="4"/>
  <c r="AE12" i="4" s="1"/>
  <c r="AK12" i="4" s="1"/>
  <c r="S27" i="4"/>
  <c r="Y28" i="4"/>
  <c r="AE28" i="4" s="1"/>
  <c r="AK28" i="4" s="1"/>
  <c r="H22" i="4"/>
  <c r="H21" i="4"/>
  <c r="Y18" i="4"/>
  <c r="AE18" i="4" s="1"/>
  <c r="AK18" i="4" s="1"/>
  <c r="Y16" i="4"/>
  <c r="AE16" i="4" s="1"/>
  <c r="AK16" i="4" s="1"/>
  <c r="H16" i="4"/>
  <c r="H11" i="4"/>
  <c r="H27" i="4"/>
  <c r="Y26" i="4"/>
  <c r="AE26" i="4" s="1"/>
  <c r="AK26" i="4" s="1"/>
  <c r="S6" i="4"/>
  <c r="H25" i="4"/>
  <c r="H6" i="4"/>
  <c r="S12" i="4"/>
  <c r="H15" i="4"/>
  <c r="H20" i="4"/>
  <c r="H5" i="4"/>
  <c r="S11" i="4"/>
  <c r="S15" i="4"/>
  <c r="Y20" i="4"/>
  <c r="AE20" i="4" s="1"/>
  <c r="AK20" i="4" s="1"/>
  <c r="Y24" i="4"/>
  <c r="AE24" i="4" s="1"/>
  <c r="AK24" i="4" s="1"/>
  <c r="S19" i="4"/>
  <c r="H9" i="4"/>
  <c r="H14" i="4"/>
  <c r="H19" i="4"/>
  <c r="Y5" i="4"/>
  <c r="AE5" i="4" s="1"/>
  <c r="AK5" i="4" s="1"/>
  <c r="H23" i="4"/>
  <c r="Z63" i="4"/>
  <c r="X26" i="1" s="1"/>
  <c r="H24" i="3"/>
  <c r="H26" i="4"/>
  <c r="M15" i="3" l="1"/>
  <c r="H18" i="3" l="1"/>
  <c r="G8" i="3"/>
  <c r="G6" i="3"/>
  <c r="G7" i="3"/>
  <c r="G28" i="3"/>
  <c r="G29" i="3"/>
  <c r="H16" i="3"/>
  <c r="H17" i="3"/>
  <c r="H14" i="3"/>
  <c r="H15" i="3"/>
  <c r="H13" i="3"/>
  <c r="H12" i="3"/>
  <c r="H26" i="3"/>
  <c r="I29" i="3" l="1"/>
  <c r="I28" i="3"/>
  <c r="I8" i="3"/>
  <c r="I7" i="3"/>
  <c r="I6" i="3"/>
  <c r="H46" i="4"/>
  <c r="H47" i="4"/>
  <c r="H45" i="4"/>
  <c r="H67" i="4"/>
  <c r="H68" i="4"/>
  <c r="Z65" i="4" l="1"/>
  <c r="X28" i="1" s="1"/>
  <c r="Z57" i="4" l="1"/>
  <c r="X20" i="1" s="1"/>
  <c r="Z56" i="4"/>
  <c r="X19" i="1" s="1"/>
  <c r="Z55" i="4"/>
  <c r="X18" i="1" s="1"/>
  <c r="Z54" i="4"/>
  <c r="X17" i="1" s="1"/>
  <c r="Z53" i="4"/>
  <c r="X16" i="1" s="1"/>
  <c r="Z52" i="4"/>
  <c r="X15" i="1" s="1"/>
  <c r="Z51" i="4"/>
  <c r="X14" i="1" s="1"/>
  <c r="X47" i="4" l="1"/>
  <c r="I10" i="1" s="1"/>
  <c r="B119" i="15" s="1"/>
  <c r="X46" i="4"/>
  <c r="I9" i="1" s="1"/>
  <c r="B118" i="15" s="1"/>
  <c r="X45" i="4"/>
  <c r="I8" i="1" s="1"/>
  <c r="B117" i="15" s="1"/>
  <c r="X68" i="4"/>
  <c r="I31" i="1" s="1"/>
  <c r="B140" i="15" s="1"/>
  <c r="X67" i="4"/>
  <c r="I30" i="1" s="1"/>
  <c r="B139" i="15" s="1"/>
  <c r="J65" i="4"/>
  <c r="E137" i="15" s="1"/>
  <c r="J51" i="4" l="1"/>
  <c r="E123" i="15" s="1"/>
  <c r="J54" i="4" l="1"/>
  <c r="E126" i="15" s="1"/>
  <c r="J53" i="4"/>
  <c r="E125" i="15" s="1"/>
  <c r="J56" i="4"/>
  <c r="E128" i="15" s="1"/>
  <c r="J55" i="4"/>
  <c r="E127" i="15" s="1"/>
  <c r="J52" i="4"/>
  <c r="E124" i="15" s="1"/>
  <c r="J57" i="4"/>
  <c r="E129" i="15" s="1"/>
  <c r="I51" i="4" l="1"/>
  <c r="I52" i="4"/>
  <c r="I55" i="4"/>
  <c r="I56" i="4"/>
  <c r="G29" i="15"/>
  <c r="K29" i="15" s="1"/>
  <c r="C9" i="1" s="1"/>
  <c r="G32" i="15"/>
  <c r="K32" i="15" s="1"/>
  <c r="C12" i="1" s="1"/>
  <c r="Q49" i="4" s="1"/>
  <c r="F121" i="15" s="1"/>
  <c r="G30" i="15"/>
  <c r="K30" i="15" s="1"/>
  <c r="C10" i="1" s="1"/>
  <c r="G38" i="15"/>
  <c r="K38" i="15" s="1"/>
  <c r="G50" i="15"/>
  <c r="K50" i="15" s="1"/>
  <c r="C30" i="1" s="1"/>
  <c r="C27" i="4" s="1"/>
  <c r="E67" i="4" s="1"/>
  <c r="G33" i="15"/>
  <c r="K33" i="15" s="1"/>
  <c r="C13" i="1" s="1"/>
  <c r="G31" i="15"/>
  <c r="K31" i="15" s="1"/>
  <c r="C11" i="1" s="1"/>
  <c r="G45" i="15"/>
  <c r="K45" i="15" s="1"/>
  <c r="G37" i="15"/>
  <c r="K37" i="15" s="1"/>
  <c r="C17" i="1" s="1"/>
  <c r="C14" i="4" s="1"/>
  <c r="E54" i="4" s="1"/>
  <c r="G35" i="15"/>
  <c r="K35" i="15" s="1"/>
  <c r="C15" i="1" s="1"/>
  <c r="G43" i="15"/>
  <c r="K43" i="15" s="1"/>
  <c r="G41" i="15"/>
  <c r="K41" i="15" s="1"/>
  <c r="G36" i="15"/>
  <c r="K36" i="15" s="1"/>
  <c r="C16" i="1" s="1"/>
  <c r="C13" i="4" s="1"/>
  <c r="E53" i="4" s="1"/>
  <c r="G34" i="15"/>
  <c r="K34" i="15" s="1"/>
  <c r="C14" i="1" s="1"/>
  <c r="G39" i="15"/>
  <c r="K39" i="15" s="1"/>
  <c r="C19" i="1" s="1"/>
  <c r="G47" i="15"/>
  <c r="K47" i="15" s="1"/>
  <c r="G51" i="15"/>
  <c r="K51" i="15" s="1"/>
  <c r="C31" i="1" s="1"/>
  <c r="G49" i="15"/>
  <c r="G44" i="15"/>
  <c r="K44" i="15" s="1"/>
  <c r="G46" i="15"/>
  <c r="K46" i="15" s="1"/>
  <c r="G40" i="15"/>
  <c r="K40" i="15" s="1"/>
  <c r="G42" i="15"/>
  <c r="K42" i="15" s="1"/>
  <c r="G48" i="15"/>
  <c r="K48" i="15" s="1"/>
  <c r="G28" i="15"/>
  <c r="K28" i="15" s="1"/>
  <c r="C8" i="1" s="1"/>
  <c r="K49" i="15" l="1"/>
  <c r="C29" i="1" s="1"/>
  <c r="C24" i="1"/>
  <c r="D22" i="3" s="1"/>
  <c r="E153" i="15"/>
  <c r="C26" i="1"/>
  <c r="C23" i="4" s="1"/>
  <c r="E63" i="4" s="1"/>
  <c r="E155" i="15"/>
  <c r="C27" i="1"/>
  <c r="C24" i="4" s="1"/>
  <c r="E64" i="4" s="1"/>
  <c r="E156" i="15"/>
  <c r="C21" i="1"/>
  <c r="C18" i="4" s="1"/>
  <c r="E58" i="4" s="1"/>
  <c r="E150" i="15"/>
  <c r="C25" i="1"/>
  <c r="R62" i="4" s="1"/>
  <c r="G134" i="15" s="1"/>
  <c r="E154" i="15"/>
  <c r="C22" i="1"/>
  <c r="C19" i="4" s="1"/>
  <c r="E59" i="4" s="1"/>
  <c r="E151" i="15"/>
  <c r="C28" i="1"/>
  <c r="C25" i="4" s="1"/>
  <c r="E65" i="4" s="1"/>
  <c r="E157" i="15"/>
  <c r="C23" i="1"/>
  <c r="E152" i="15"/>
  <c r="C20" i="1"/>
  <c r="D18" i="3" s="1"/>
  <c r="E149" i="15"/>
  <c r="C18" i="1"/>
  <c r="C15" i="4" s="1"/>
  <c r="E55" i="4" s="1"/>
  <c r="R68" i="4"/>
  <c r="G140" i="15" s="1"/>
  <c r="D29" i="3"/>
  <c r="Q68" i="4"/>
  <c r="F140" i="15" s="1"/>
  <c r="W68" i="4"/>
  <c r="C28" i="4"/>
  <c r="E68" i="4" s="1"/>
  <c r="Q52" i="4"/>
  <c r="W52" i="4"/>
  <c r="D13" i="3"/>
  <c r="C12" i="4"/>
  <c r="E52" i="4" s="1"/>
  <c r="D9" i="3"/>
  <c r="R48" i="4"/>
  <c r="G120" i="15" s="1"/>
  <c r="Q48" i="4"/>
  <c r="F120" i="15" s="1"/>
  <c r="W48" i="4"/>
  <c r="C8" i="4"/>
  <c r="E48" i="4" s="1"/>
  <c r="D6" i="3"/>
  <c r="Q45" i="4"/>
  <c r="F117" i="15" s="1"/>
  <c r="W45" i="4"/>
  <c r="C5" i="4"/>
  <c r="E45" i="4" s="1"/>
  <c r="Q56" i="4"/>
  <c r="W56" i="4"/>
  <c r="D17" i="3"/>
  <c r="C16" i="4"/>
  <c r="E56" i="4" s="1"/>
  <c r="Q51" i="4"/>
  <c r="W51" i="4"/>
  <c r="D12" i="3"/>
  <c r="D8" i="3"/>
  <c r="W47" i="4"/>
  <c r="C7" i="4"/>
  <c r="E47" i="4" s="1"/>
  <c r="W54" i="4"/>
  <c r="Q54" i="4"/>
  <c r="D15" i="3"/>
  <c r="Q62" i="4"/>
  <c r="F134" i="15" s="1"/>
  <c r="C22" i="4"/>
  <c r="E62" i="4" s="1"/>
  <c r="R46" i="4"/>
  <c r="G118" i="15" s="1"/>
  <c r="D7" i="3"/>
  <c r="W46" i="4"/>
  <c r="C6" i="4"/>
  <c r="E46" i="4" s="1"/>
  <c r="C11" i="4"/>
  <c r="E51" i="4" s="1"/>
  <c r="Q47" i="4"/>
  <c r="F119" i="15" s="1"/>
  <c r="D11" i="3"/>
  <c r="W50" i="4"/>
  <c r="C10" i="4"/>
  <c r="E50" i="4" s="1"/>
  <c r="Q50" i="4"/>
  <c r="Q53" i="4"/>
  <c r="W53" i="4"/>
  <c r="D14" i="3"/>
  <c r="D28" i="3"/>
  <c r="Q67" i="4"/>
  <c r="W67" i="4"/>
  <c r="Q46" i="4"/>
  <c r="F118" i="15" s="1"/>
  <c r="R49" i="4"/>
  <c r="D10" i="3"/>
  <c r="W49" i="4"/>
  <c r="C9" i="4"/>
  <c r="E49" i="4" s="1"/>
  <c r="Q55" i="4" l="1"/>
  <c r="Q66" i="4"/>
  <c r="W66" i="4"/>
  <c r="D27" i="3"/>
  <c r="C26" i="4"/>
  <c r="E66" i="4" s="1"/>
  <c r="Q57" i="4"/>
  <c r="F129" i="15" s="1"/>
  <c r="D23" i="3"/>
  <c r="W62" i="4"/>
  <c r="D25" i="1" s="1"/>
  <c r="I62" i="4" s="1"/>
  <c r="W57" i="4"/>
  <c r="E17" i="4" s="1"/>
  <c r="D26" i="3"/>
  <c r="W65" i="4"/>
  <c r="D28" i="1" s="1"/>
  <c r="I65" i="4" s="1"/>
  <c r="D25" i="3"/>
  <c r="W64" i="4"/>
  <c r="D27" i="1" s="1"/>
  <c r="I64" i="4" s="1"/>
  <c r="Q64" i="4"/>
  <c r="F136" i="15" s="1"/>
  <c r="Q61" i="4"/>
  <c r="F133" i="15" s="1"/>
  <c r="B27" i="23"/>
  <c r="G12" i="23" s="1"/>
  <c r="H12" i="23" s="1"/>
  <c r="W61" i="4"/>
  <c r="D24" i="1" s="1"/>
  <c r="I61" i="4" s="1"/>
  <c r="C21" i="4"/>
  <c r="E61" i="4" s="1"/>
  <c r="R61" i="4"/>
  <c r="G133" i="15" s="1"/>
  <c r="R47" i="4"/>
  <c r="G119" i="15" s="1"/>
  <c r="R45" i="4"/>
  <c r="G117" i="15" s="1"/>
  <c r="Q65" i="4"/>
  <c r="F137" i="15" s="1"/>
  <c r="D16" i="3"/>
  <c r="D24" i="3"/>
  <c r="C17" i="4"/>
  <c r="E57" i="4" s="1"/>
  <c r="W55" i="4"/>
  <c r="D18" i="1" s="1"/>
  <c r="Q58" i="4"/>
  <c r="F130" i="15" s="1"/>
  <c r="B148" i="15"/>
  <c r="B153" i="15"/>
  <c r="B24" i="22"/>
  <c r="G17" i="22" s="1"/>
  <c r="B17" i="21"/>
  <c r="B18" i="21" s="1"/>
  <c r="B21" i="21" s="1"/>
  <c r="B12" i="16"/>
  <c r="B15" i="20"/>
  <c r="B19" i="20"/>
  <c r="G18" i="20" s="1"/>
  <c r="H18" i="20" s="1"/>
  <c r="E158" i="15"/>
  <c r="D19" i="3"/>
  <c r="B14" i="18"/>
  <c r="B15" i="18" s="1"/>
  <c r="B16" i="18" s="1"/>
  <c r="B15" i="19"/>
  <c r="B27" i="22"/>
  <c r="G18" i="22" s="1"/>
  <c r="Q59" i="4"/>
  <c r="R59" i="4" s="1"/>
  <c r="G131" i="15" s="1"/>
  <c r="B13" i="18"/>
  <c r="G11" i="18" s="1"/>
  <c r="B23" i="24"/>
  <c r="B23" i="23"/>
  <c r="R60" i="4"/>
  <c r="G132" i="15" s="1"/>
  <c r="Q63" i="4"/>
  <c r="R63" i="4" s="1"/>
  <c r="G135" i="15" s="1"/>
  <c r="B16" i="20"/>
  <c r="G11" i="20" s="1"/>
  <c r="B24" i="24"/>
  <c r="G11" i="24" s="1"/>
  <c r="B13" i="17"/>
  <c r="G16" i="17" s="1"/>
  <c r="H16" i="17" s="1"/>
  <c r="G6" i="18"/>
  <c r="B25" i="23"/>
  <c r="B26" i="23" s="1"/>
  <c r="B29" i="23" s="1"/>
  <c r="C32" i="1"/>
  <c r="B12" i="18"/>
  <c r="G6" i="17"/>
  <c r="B12" i="17"/>
  <c r="G6" i="19"/>
  <c r="W60" i="4"/>
  <c r="E20" i="4" s="1"/>
  <c r="D21" i="3"/>
  <c r="D20" i="3"/>
  <c r="W63" i="4"/>
  <c r="D26" i="1" s="1"/>
  <c r="I63" i="4" s="1"/>
  <c r="B16" i="19"/>
  <c r="G11" i="19" s="1"/>
  <c r="B9" i="7"/>
  <c r="B16" i="21"/>
  <c r="G11" i="21" s="1"/>
  <c r="B13" i="16"/>
  <c r="G16" i="16" s="1"/>
  <c r="H16" i="16" s="1"/>
  <c r="B14" i="17"/>
  <c r="B17" i="19"/>
  <c r="B18" i="19" s="1"/>
  <c r="B21" i="19" s="1"/>
  <c r="G6" i="20"/>
  <c r="G6" i="21"/>
  <c r="B15" i="21"/>
  <c r="B23" i="22"/>
  <c r="B24" i="23"/>
  <c r="G11" i="23" s="1"/>
  <c r="B27" i="24"/>
  <c r="G12" i="24" s="1"/>
  <c r="H12" i="24" s="1"/>
  <c r="Q60" i="4"/>
  <c r="F132" i="15" s="1"/>
  <c r="B19" i="21"/>
  <c r="G18" i="21" s="1"/>
  <c r="H18" i="21" s="1"/>
  <c r="W59" i="4"/>
  <c r="D22" i="1" s="1"/>
  <c r="I59" i="4" s="1"/>
  <c r="W58" i="4"/>
  <c r="D21" i="1" s="1"/>
  <c r="I58" i="4" s="1"/>
  <c r="B14" i="16"/>
  <c r="B15" i="16" s="1"/>
  <c r="B16" i="16" s="1"/>
  <c r="G12" i="16" s="1"/>
  <c r="B25" i="24"/>
  <c r="B26" i="24" s="1"/>
  <c r="B29" i="24" s="1"/>
  <c r="B25" i="22"/>
  <c r="B26" i="22" s="1"/>
  <c r="B29" i="22" s="1"/>
  <c r="B17" i="20"/>
  <c r="B18" i="20" s="1"/>
  <c r="B21" i="20" s="1"/>
  <c r="B95" i="15"/>
  <c r="G6" i="24"/>
  <c r="G6" i="16"/>
  <c r="G6" i="23"/>
  <c r="G6" i="22"/>
  <c r="C20" i="4"/>
  <c r="E60" i="4" s="1"/>
  <c r="B19" i="19"/>
  <c r="G18" i="19" s="1"/>
  <c r="H18" i="19" s="1"/>
  <c r="R58" i="4"/>
  <c r="G130" i="15" s="1"/>
  <c r="R64" i="4"/>
  <c r="G136" i="15" s="1"/>
  <c r="R54" i="4"/>
  <c r="G126" i="15" s="1"/>
  <c r="F126" i="15"/>
  <c r="R57" i="4"/>
  <c r="G129" i="15" s="1"/>
  <c r="S49" i="4"/>
  <c r="T49" i="4" s="1"/>
  <c r="U49" i="4" s="1"/>
  <c r="G121" i="15"/>
  <c r="R52" i="4"/>
  <c r="G124" i="15" s="1"/>
  <c r="F124" i="15"/>
  <c r="R66" i="4"/>
  <c r="G138" i="15" s="1"/>
  <c r="F138" i="15"/>
  <c r="R65" i="4"/>
  <c r="G137" i="15" s="1"/>
  <c r="R51" i="4"/>
  <c r="G123" i="15" s="1"/>
  <c r="F123" i="15"/>
  <c r="R56" i="4"/>
  <c r="G128" i="15" s="1"/>
  <c r="F128" i="15"/>
  <c r="R55" i="4"/>
  <c r="G127" i="15" s="1"/>
  <c r="F127" i="15"/>
  <c r="R67" i="4"/>
  <c r="G139" i="15" s="1"/>
  <c r="F139" i="15"/>
  <c r="R53" i="4"/>
  <c r="G125" i="15" s="1"/>
  <c r="F125" i="15"/>
  <c r="R50" i="4"/>
  <c r="G122" i="15" s="1"/>
  <c r="F122" i="15"/>
  <c r="D17" i="1"/>
  <c r="E14" i="4"/>
  <c r="E9" i="4"/>
  <c r="D12" i="1"/>
  <c r="S46" i="4"/>
  <c r="S48" i="4"/>
  <c r="E28" i="4"/>
  <c r="D31" i="1"/>
  <c r="D30" i="1"/>
  <c r="E27" i="4"/>
  <c r="E13" i="4"/>
  <c r="D16" i="1"/>
  <c r="S62" i="4"/>
  <c r="T62" i="4" s="1"/>
  <c r="D8" i="1"/>
  <c r="E5" i="4"/>
  <c r="D19" i="1"/>
  <c r="E16" i="4"/>
  <c r="D11" i="1"/>
  <c r="E8" i="4"/>
  <c r="E12" i="4"/>
  <c r="D15" i="1"/>
  <c r="D13" i="1"/>
  <c r="E10" i="4"/>
  <c r="D9" i="1"/>
  <c r="E6" i="4"/>
  <c r="D10" i="1"/>
  <c r="E7" i="4"/>
  <c r="E11" i="4"/>
  <c r="D14" i="1"/>
  <c r="D29" i="1"/>
  <c r="E26" i="4"/>
  <c r="S68" i="4"/>
  <c r="B15" i="17" l="1"/>
  <c r="B16" i="17" s="1"/>
  <c r="S47" i="4"/>
  <c r="D20" i="1"/>
  <c r="I57" i="4" s="1"/>
  <c r="E25" i="4"/>
  <c r="E22" i="4"/>
  <c r="E24" i="4"/>
  <c r="S61" i="4"/>
  <c r="T61" i="4" s="1"/>
  <c r="E21" i="4"/>
  <c r="D23" i="1"/>
  <c r="I60" i="4" s="1"/>
  <c r="G18" i="23"/>
  <c r="G19" i="23" s="1"/>
  <c r="G15" i="7"/>
  <c r="G21" i="7" s="1"/>
  <c r="B30" i="7"/>
  <c r="I20" i="7" s="1"/>
  <c r="G16" i="18"/>
  <c r="H16" i="18" s="1"/>
  <c r="S45" i="4"/>
  <c r="T45" i="4" s="1"/>
  <c r="U45" i="4" s="1"/>
  <c r="S57" i="4"/>
  <c r="G17" i="19"/>
  <c r="H17" i="19" s="1"/>
  <c r="I18" i="7"/>
  <c r="G11" i="17"/>
  <c r="H11" i="17" s="1"/>
  <c r="G17" i="23"/>
  <c r="G23" i="23" s="1"/>
  <c r="H23" i="23" s="1"/>
  <c r="G12" i="20"/>
  <c r="H12" i="20" s="1"/>
  <c r="G11" i="22"/>
  <c r="H11" i="22" s="1"/>
  <c r="S51" i="4"/>
  <c r="T51" i="4" s="1"/>
  <c r="V51" i="4" s="1"/>
  <c r="B149" i="15"/>
  <c r="B150" i="15" s="1"/>
  <c r="G12" i="19"/>
  <c r="H12" i="19" s="1"/>
  <c r="E15" i="4"/>
  <c r="G17" i="21"/>
  <c r="H17" i="21" s="1"/>
  <c r="B20" i="20"/>
  <c r="G13" i="20" s="1"/>
  <c r="H13" i="20" s="1"/>
  <c r="B20" i="21"/>
  <c r="G13" i="21" s="1"/>
  <c r="H13" i="21" s="1"/>
  <c r="M11" i="3"/>
  <c r="G12" i="22"/>
  <c r="H12" i="22" s="1"/>
  <c r="G18" i="24"/>
  <c r="H18" i="24" s="1"/>
  <c r="D30" i="3"/>
  <c r="M13" i="3" s="1"/>
  <c r="S63" i="4"/>
  <c r="T63" i="4" s="1"/>
  <c r="U63" i="4" s="1"/>
  <c r="F131" i="15"/>
  <c r="E23" i="4"/>
  <c r="S60" i="4"/>
  <c r="T60" i="4" s="1"/>
  <c r="E18" i="4"/>
  <c r="G12" i="21"/>
  <c r="H12" i="21" s="1"/>
  <c r="I17" i="7"/>
  <c r="Q69" i="4"/>
  <c r="G33" i="1" s="1"/>
  <c r="I5" i="7"/>
  <c r="S66" i="4"/>
  <c r="T66" i="4" s="1"/>
  <c r="U66" i="4" s="1"/>
  <c r="F135" i="15"/>
  <c r="C12" i="8"/>
  <c r="F12" i="7"/>
  <c r="G17" i="20"/>
  <c r="H17" i="20" s="1"/>
  <c r="B20" i="19"/>
  <c r="G13" i="19" s="1"/>
  <c r="H13" i="19" s="1"/>
  <c r="E19" i="4"/>
  <c r="G17" i="24"/>
  <c r="H17" i="24" s="1"/>
  <c r="G11" i="16"/>
  <c r="H11" i="16" s="1"/>
  <c r="S58" i="4"/>
  <c r="T58" i="4" s="1"/>
  <c r="V58" i="4" s="1"/>
  <c r="S59" i="4"/>
  <c r="T59" i="4" s="1"/>
  <c r="V59" i="4" s="1"/>
  <c r="S53" i="4"/>
  <c r="T53" i="4" s="1"/>
  <c r="V53" i="4" s="1"/>
  <c r="G142" i="15"/>
  <c r="S54" i="4"/>
  <c r="T54" i="4" s="1"/>
  <c r="V54" i="4" s="1"/>
  <c r="R69" i="4"/>
  <c r="H33" i="1" s="1"/>
  <c r="S55" i="4"/>
  <c r="T55" i="4" s="1"/>
  <c r="V55" i="4" s="1"/>
  <c r="S65" i="4"/>
  <c r="T65" i="4" s="1"/>
  <c r="V65" i="4" s="1"/>
  <c r="S52" i="4"/>
  <c r="T52" i="4" s="1"/>
  <c r="U52" i="4" s="1"/>
  <c r="S67" i="4"/>
  <c r="T67" i="4" s="1"/>
  <c r="V67" i="4" s="1"/>
  <c r="S64" i="4"/>
  <c r="T64" i="4" s="1"/>
  <c r="V64" i="4" s="1"/>
  <c r="S56" i="4"/>
  <c r="T56" i="4" s="1"/>
  <c r="U56" i="4" s="1"/>
  <c r="S50" i="4"/>
  <c r="T50" i="4" s="1"/>
  <c r="U50" i="4" s="1"/>
  <c r="V49" i="4"/>
  <c r="B28" i="24"/>
  <c r="G13" i="24" s="1"/>
  <c r="H13" i="24" s="1"/>
  <c r="B28" i="23"/>
  <c r="G13" i="23" s="1"/>
  <c r="H13" i="23" s="1"/>
  <c r="H11" i="18"/>
  <c r="AD6" i="4"/>
  <c r="AG6" i="4" s="1"/>
  <c r="R6" i="4"/>
  <c r="U6" i="4" s="1"/>
  <c r="AJ6" i="4"/>
  <c r="AM6" i="4" s="1"/>
  <c r="X6" i="4"/>
  <c r="AA6" i="4" s="1"/>
  <c r="G17" i="16"/>
  <c r="H17" i="16" s="1"/>
  <c r="H18" i="16" s="1"/>
  <c r="H12" i="16"/>
  <c r="H11" i="21"/>
  <c r="H11" i="24"/>
  <c r="T68" i="4"/>
  <c r="V68" i="4" s="1"/>
  <c r="G17" i="18"/>
  <c r="H17" i="18" s="1"/>
  <c r="G12" i="18"/>
  <c r="H12" i="18" s="1"/>
  <c r="AD7" i="4"/>
  <c r="AG7" i="4" s="1"/>
  <c r="R7" i="4"/>
  <c r="U7" i="4" s="1"/>
  <c r="AJ7" i="4"/>
  <c r="AM7" i="4" s="1"/>
  <c r="X7" i="4"/>
  <c r="AA7" i="4" s="1"/>
  <c r="H11" i="20"/>
  <c r="T57" i="4"/>
  <c r="V57" i="4" s="1"/>
  <c r="V61" i="4"/>
  <c r="AD5" i="4"/>
  <c r="X5" i="4"/>
  <c r="R5" i="4"/>
  <c r="AJ5" i="4"/>
  <c r="H11" i="19"/>
  <c r="V62" i="4"/>
  <c r="U62" i="4"/>
  <c r="T48" i="4"/>
  <c r="V48" i="4" s="1"/>
  <c r="R28" i="4"/>
  <c r="U28" i="4" s="1"/>
  <c r="AJ28" i="4"/>
  <c r="AM28" i="4" s="1"/>
  <c r="X28" i="4"/>
  <c r="AA28" i="4" s="1"/>
  <c r="AD28" i="4"/>
  <c r="AG28" i="4" s="1"/>
  <c r="G24" i="22"/>
  <c r="H24" i="22" s="1"/>
  <c r="H18" i="22"/>
  <c r="H17" i="22"/>
  <c r="G23" i="22"/>
  <c r="H23" i="22" s="1"/>
  <c r="T47" i="4"/>
  <c r="V47" i="4" s="1"/>
  <c r="R27" i="4"/>
  <c r="U27" i="4" s="1"/>
  <c r="AD27" i="4"/>
  <c r="AG27" i="4" s="1"/>
  <c r="AJ27" i="4"/>
  <c r="AM27" i="4" s="1"/>
  <c r="X27" i="4"/>
  <c r="AA27" i="4" s="1"/>
  <c r="T46" i="4"/>
  <c r="V46" i="4" s="1"/>
  <c r="H11" i="23"/>
  <c r="B28" i="22"/>
  <c r="G13" i="22" s="1"/>
  <c r="H13" i="22" s="1"/>
  <c r="G19" i="22"/>
  <c r="G17" i="17" l="1"/>
  <c r="H17" i="17" s="1"/>
  <c r="H18" i="17" s="1"/>
  <c r="G12" i="17"/>
  <c r="H12" i="17" s="1"/>
  <c r="I69" i="4"/>
  <c r="G24" i="23"/>
  <c r="H24" i="23" s="1"/>
  <c r="H18" i="23"/>
  <c r="U61" i="4"/>
  <c r="H18" i="18"/>
  <c r="H17" i="23"/>
  <c r="G19" i="20"/>
  <c r="H19" i="20" s="1"/>
  <c r="H20" i="20" s="1"/>
  <c r="F142" i="15"/>
  <c r="G19" i="21"/>
  <c r="H19" i="21" s="1"/>
  <c r="H20" i="21" s="1"/>
  <c r="V60" i="4"/>
  <c r="U60" i="4"/>
  <c r="G19" i="19"/>
  <c r="H19" i="19" s="1"/>
  <c r="H20" i="19" s="1"/>
  <c r="G19" i="24"/>
  <c r="H19" i="24" s="1"/>
  <c r="H20" i="24" s="1"/>
  <c r="G24" i="24"/>
  <c r="H24" i="24" s="1"/>
  <c r="G23" i="24"/>
  <c r="H23" i="24" s="1"/>
  <c r="E31" i="4"/>
  <c r="E33" i="4" s="1"/>
  <c r="H13" i="17"/>
  <c r="H20" i="17" s="1"/>
  <c r="H21" i="17" s="1"/>
  <c r="G26" i="17" s="1"/>
  <c r="H14" i="19"/>
  <c r="H13" i="16"/>
  <c r="V56" i="4"/>
  <c r="U58" i="4"/>
  <c r="V63" i="4"/>
  <c r="H14" i="23"/>
  <c r="U67" i="4"/>
  <c r="U48" i="4"/>
  <c r="U46" i="4"/>
  <c r="H14" i="20"/>
  <c r="U59" i="4"/>
  <c r="U51" i="4"/>
  <c r="U57" i="4"/>
  <c r="V45" i="4"/>
  <c r="U47" i="4"/>
  <c r="U64" i="4"/>
  <c r="V50" i="4"/>
  <c r="V52" i="4"/>
  <c r="U54" i="4"/>
  <c r="U53" i="4"/>
  <c r="U68" i="4"/>
  <c r="H19" i="22"/>
  <c r="H20" i="22" s="1"/>
  <c r="G25" i="22"/>
  <c r="H25" i="22" s="1"/>
  <c r="H26" i="22" s="1"/>
  <c r="U5" i="4"/>
  <c r="H14" i="24"/>
  <c r="H14" i="21"/>
  <c r="H13" i="18"/>
  <c r="U65" i="4"/>
  <c r="H14" i="22"/>
  <c r="H19" i="23"/>
  <c r="G25" i="23"/>
  <c r="H25" i="23" s="1"/>
  <c r="H26" i="23" s="1"/>
  <c r="V66" i="4"/>
  <c r="U55" i="4"/>
  <c r="H20" i="23" l="1"/>
  <c r="H28" i="23" s="1"/>
  <c r="H29" i="23" s="1"/>
  <c r="G33" i="23" s="1"/>
  <c r="B107" i="15" s="1"/>
  <c r="R9" i="4"/>
  <c r="U9" i="4" s="1"/>
  <c r="R8" i="4"/>
  <c r="U8" i="4" s="1"/>
  <c r="I25" i="4"/>
  <c r="R25" i="4" s="1"/>
  <c r="U25" i="4" s="1"/>
  <c r="R10" i="4"/>
  <c r="U10" i="4" s="1"/>
  <c r="R26" i="4"/>
  <c r="U26" i="4" s="1"/>
  <c r="K27" i="4"/>
  <c r="I9" i="4"/>
  <c r="J12" i="4"/>
  <c r="J7" i="4"/>
  <c r="J6" i="4"/>
  <c r="I17" i="4"/>
  <c r="R17" i="4" s="1"/>
  <c r="U17" i="4" s="1"/>
  <c r="R13" i="4"/>
  <c r="U13" i="4" s="1"/>
  <c r="J24" i="4"/>
  <c r="I7" i="4"/>
  <c r="J18" i="4"/>
  <c r="K16" i="4"/>
  <c r="I21" i="4"/>
  <c r="R21" i="4" s="1"/>
  <c r="U21" i="4" s="1"/>
  <c r="K25" i="4"/>
  <c r="R14" i="4"/>
  <c r="U14" i="4" s="1"/>
  <c r="G25" i="24"/>
  <c r="H25" i="24" s="1"/>
  <c r="H26" i="24" s="1"/>
  <c r="H28" i="24" s="1"/>
  <c r="H29" i="24" s="1"/>
  <c r="G33" i="24" s="1"/>
  <c r="J8" i="4"/>
  <c r="K8" i="4"/>
  <c r="I28" i="4"/>
  <c r="I6" i="4"/>
  <c r="R11" i="4"/>
  <c r="U11" i="4" s="1"/>
  <c r="I16" i="4"/>
  <c r="I27" i="4"/>
  <c r="J19" i="4"/>
  <c r="I11" i="4"/>
  <c r="K22" i="4"/>
  <c r="J25" i="4"/>
  <c r="K14" i="4"/>
  <c r="K18" i="4"/>
  <c r="I19" i="4"/>
  <c r="R19" i="4" s="1"/>
  <c r="U19" i="4" s="1"/>
  <c r="J23" i="4"/>
  <c r="I20" i="4"/>
  <c r="R20" i="4" s="1"/>
  <c r="U20" i="4" s="1"/>
  <c r="I5" i="4"/>
  <c r="K17" i="4"/>
  <c r="J21" i="4"/>
  <c r="J5" i="4"/>
  <c r="J10" i="4"/>
  <c r="K28" i="4"/>
  <c r="K24" i="4"/>
  <c r="I15" i="4"/>
  <c r="R16" i="4"/>
  <c r="U16" i="4" s="1"/>
  <c r="K11" i="4"/>
  <c r="K9" i="4"/>
  <c r="I12" i="4"/>
  <c r="K12" i="4"/>
  <c r="H23" i="21"/>
  <c r="H24" i="21" s="1"/>
  <c r="G28" i="21" s="1"/>
  <c r="B111" i="15" s="1"/>
  <c r="J13" i="4"/>
  <c r="J20" i="4"/>
  <c r="J9" i="4"/>
  <c r="I14" i="4"/>
  <c r="J22" i="4"/>
  <c r="J15" i="4"/>
  <c r="K23" i="4"/>
  <c r="I18" i="4"/>
  <c r="R18" i="4" s="1"/>
  <c r="U18" i="4" s="1"/>
  <c r="I13" i="4"/>
  <c r="I26" i="4"/>
  <c r="J28" i="4"/>
  <c r="K7" i="4"/>
  <c r="K10" i="4"/>
  <c r="I10" i="4"/>
  <c r="K19" i="4"/>
  <c r="H23" i="19"/>
  <c r="H24" i="19" s="1"/>
  <c r="G28" i="19" s="1"/>
  <c r="B105" i="15" s="1"/>
  <c r="H23" i="20"/>
  <c r="H24" i="20" s="1"/>
  <c r="G28" i="20" s="1"/>
  <c r="B110" i="15" s="1"/>
  <c r="J11" i="4"/>
  <c r="I22" i="4"/>
  <c r="R22" i="4" s="1"/>
  <c r="U22" i="4" s="1"/>
  <c r="J17" i="4"/>
  <c r="J26" i="4"/>
  <c r="K21" i="4"/>
  <c r="J16" i="4"/>
  <c r="R12" i="4"/>
  <c r="U12" i="4" s="1"/>
  <c r="J27" i="4"/>
  <c r="K5" i="4"/>
  <c r="Z5" i="4" s="1"/>
  <c r="AF5" i="4" s="1"/>
  <c r="AL5" i="4" s="1"/>
  <c r="AM5" i="4" s="1"/>
  <c r="K13" i="4"/>
  <c r="I23" i="4"/>
  <c r="R23" i="4" s="1"/>
  <c r="U23" i="4" s="1"/>
  <c r="I24" i="4"/>
  <c r="R24" i="4" s="1"/>
  <c r="U24" i="4" s="1"/>
  <c r="K26" i="4"/>
  <c r="J14" i="4"/>
  <c r="R15" i="4"/>
  <c r="U15" i="4" s="1"/>
  <c r="I8" i="4"/>
  <c r="K20" i="4"/>
  <c r="K6" i="4"/>
  <c r="K15" i="4"/>
  <c r="H20" i="18"/>
  <c r="H21" i="18" s="1"/>
  <c r="G26" i="18" s="1"/>
  <c r="B108" i="15" s="1"/>
  <c r="H20" i="16"/>
  <c r="H21" i="16" s="1"/>
  <c r="G26" i="16" s="1"/>
  <c r="B103" i="15" s="1"/>
  <c r="H28" i="22"/>
  <c r="H29" i="22" s="1"/>
  <c r="G33" i="22" s="1"/>
  <c r="B106" i="15"/>
  <c r="L27" i="4" l="1"/>
  <c r="L6" i="4"/>
  <c r="L12" i="4"/>
  <c r="L18" i="4"/>
  <c r="L7" i="4"/>
  <c r="L8" i="4"/>
  <c r="L16" i="4"/>
  <c r="L25" i="4"/>
  <c r="L24" i="4"/>
  <c r="I7" i="7"/>
  <c r="L23" i="4"/>
  <c r="L14" i="4"/>
  <c r="L21" i="4"/>
  <c r="L9" i="4"/>
  <c r="L22" i="4"/>
  <c r="L19" i="4"/>
  <c r="L10" i="4"/>
  <c r="L13" i="4"/>
  <c r="L15" i="4"/>
  <c r="L28" i="4"/>
  <c r="L20" i="4"/>
  <c r="L11" i="4"/>
  <c r="L17" i="4"/>
  <c r="L5" i="4"/>
  <c r="AA5" i="4"/>
  <c r="AG5" i="4"/>
  <c r="I31" i="4"/>
  <c r="L26" i="4"/>
  <c r="R31" i="4"/>
  <c r="R33" i="4" s="1"/>
  <c r="X8" i="4" s="1"/>
  <c r="AA8" i="4" s="1"/>
  <c r="B104" i="15"/>
  <c r="B109" i="15"/>
  <c r="X10" i="4" l="1"/>
  <c r="AA10" i="4" s="1"/>
  <c r="X9" i="4"/>
  <c r="AA9" i="4" s="1"/>
  <c r="I33" i="4"/>
  <c r="X20" i="4"/>
  <c r="AA20" i="4" s="1"/>
  <c r="X21" i="4"/>
  <c r="AA21" i="4" s="1"/>
  <c r="X26" i="4"/>
  <c r="AA26" i="4" s="1"/>
  <c r="X22" i="4"/>
  <c r="AA22" i="4" s="1"/>
  <c r="X25" i="4"/>
  <c r="AA25" i="4" s="1"/>
  <c r="X24" i="4"/>
  <c r="AA24" i="4" s="1"/>
  <c r="X15" i="4"/>
  <c r="AA15" i="4" s="1"/>
  <c r="X23" i="4"/>
  <c r="AA23" i="4" s="1"/>
  <c r="X11" i="4"/>
  <c r="AA11" i="4" s="1"/>
  <c r="X13" i="4"/>
  <c r="AA13" i="4" s="1"/>
  <c r="X14" i="4"/>
  <c r="AA14" i="4" s="1"/>
  <c r="X16" i="4"/>
  <c r="AA16" i="4" s="1"/>
  <c r="X18" i="4"/>
  <c r="AA18" i="4" s="1"/>
  <c r="X17" i="4"/>
  <c r="AA17" i="4" s="1"/>
  <c r="X19" i="4"/>
  <c r="AA19" i="4" s="1"/>
  <c r="X12" i="4"/>
  <c r="AA12" i="4" s="1"/>
  <c r="X31" i="4" l="1"/>
  <c r="X33" i="4" s="1"/>
  <c r="AD8" i="4" s="1"/>
  <c r="AG8" i="4" s="1"/>
  <c r="AD10" i="4" l="1"/>
  <c r="AG10" i="4" s="1"/>
  <c r="AD9" i="4"/>
  <c r="AG9" i="4" s="1"/>
  <c r="AD20" i="4"/>
  <c r="AG20" i="4" s="1"/>
  <c r="AD21" i="4"/>
  <c r="AG21" i="4" s="1"/>
  <c r="AD13" i="4"/>
  <c r="AG13" i="4" s="1"/>
  <c r="AD22" i="4"/>
  <c r="AG22" i="4" s="1"/>
  <c r="AD17" i="4"/>
  <c r="AG17" i="4" s="1"/>
  <c r="AD18" i="4"/>
  <c r="AG18" i="4" s="1"/>
  <c r="AD14" i="4"/>
  <c r="AG14" i="4" s="1"/>
  <c r="AD25" i="4"/>
  <c r="AG25" i="4" s="1"/>
  <c r="AD12" i="4"/>
  <c r="AG12" i="4" s="1"/>
  <c r="AD11" i="4"/>
  <c r="AG11" i="4" s="1"/>
  <c r="AD23" i="4"/>
  <c r="AG23" i="4" s="1"/>
  <c r="AD16" i="4"/>
  <c r="AG16" i="4" s="1"/>
  <c r="AD24" i="4"/>
  <c r="AG24" i="4" s="1"/>
  <c r="AD26" i="4"/>
  <c r="AG26" i="4" s="1"/>
  <c r="AD19" i="4"/>
  <c r="AG19" i="4" s="1"/>
  <c r="AD15" i="4"/>
  <c r="AG15" i="4" s="1"/>
  <c r="AD31" i="4" l="1"/>
  <c r="AD33" i="4" s="1"/>
  <c r="AJ8" i="4" s="1"/>
  <c r="AM8" i="4" s="1"/>
  <c r="AJ10" i="4" l="1"/>
  <c r="AM10" i="4" s="1"/>
  <c r="AJ9" i="4"/>
  <c r="AM9" i="4" s="1"/>
  <c r="AJ20" i="4"/>
  <c r="AM20" i="4" s="1"/>
  <c r="AJ21" i="4"/>
  <c r="AM21" i="4" s="1"/>
  <c r="AJ12" i="4"/>
  <c r="AM12" i="4" s="1"/>
  <c r="AJ22" i="4"/>
  <c r="AM22" i="4" s="1"/>
  <c r="AJ11" i="4"/>
  <c r="AM11" i="4" s="1"/>
  <c r="AJ13" i="4"/>
  <c r="AM13" i="4" s="1"/>
  <c r="AJ24" i="4"/>
  <c r="AM24" i="4" s="1"/>
  <c r="AJ26" i="4"/>
  <c r="AM26" i="4" s="1"/>
  <c r="AJ23" i="4"/>
  <c r="AM23" i="4" s="1"/>
  <c r="AJ25" i="4"/>
  <c r="AM25" i="4" s="1"/>
  <c r="AJ18" i="4"/>
  <c r="AM18" i="4" s="1"/>
  <c r="AJ19" i="4"/>
  <c r="AM19" i="4" s="1"/>
  <c r="AJ17" i="4"/>
  <c r="AM17" i="4" s="1"/>
  <c r="AJ15" i="4"/>
  <c r="AM15" i="4" s="1"/>
  <c r="AJ14" i="4"/>
  <c r="AM14" i="4" s="1"/>
  <c r="AJ16" i="4"/>
  <c r="AM16" i="4" s="1"/>
  <c r="AJ31" i="4" l="1"/>
  <c r="AJ33" i="4" s="1"/>
  <c r="W39" i="4" s="1"/>
  <c r="G9" i="3" s="1"/>
  <c r="I9" i="3" s="1"/>
  <c r="G11" i="3" l="1"/>
  <c r="I11" i="3" s="1"/>
  <c r="G10" i="3"/>
  <c r="I10" i="3" s="1"/>
  <c r="H27" i="3"/>
  <c r="Y39" i="4"/>
  <c r="K4" i="1" s="1"/>
  <c r="G21" i="3"/>
  <c r="I21" i="3" s="1"/>
  <c r="G22" i="3"/>
  <c r="H10" i="3"/>
  <c r="G23" i="3"/>
  <c r="K23" i="3" s="1"/>
  <c r="G27" i="3"/>
  <c r="H29" i="3"/>
  <c r="K29" i="3" s="1"/>
  <c r="G26" i="3"/>
  <c r="I26" i="3" s="1"/>
  <c r="J26" i="3" s="1"/>
  <c r="G12" i="3"/>
  <c r="K12" i="3" s="1"/>
  <c r="H7" i="3"/>
  <c r="K7" i="3" s="1"/>
  <c r="G15" i="3"/>
  <c r="K15" i="3" s="1"/>
  <c r="H28" i="3"/>
  <c r="K28" i="3" s="1"/>
  <c r="G19" i="3"/>
  <c r="K19" i="3" s="1"/>
  <c r="F4" i="1"/>
  <c r="G14" i="3"/>
  <c r="K14" i="3" s="1"/>
  <c r="H11" i="3"/>
  <c r="G25" i="3"/>
  <c r="I25" i="3" s="1"/>
  <c r="G24" i="3"/>
  <c r="K24" i="3" s="1"/>
  <c r="G18" i="3"/>
  <c r="K18" i="3" s="1"/>
  <c r="H6" i="3"/>
  <c r="K6" i="3" s="1"/>
  <c r="H9" i="3"/>
  <c r="K9" i="3" s="1"/>
  <c r="G20" i="3"/>
  <c r="K20" i="3" s="1"/>
  <c r="G13" i="3"/>
  <c r="K13" i="3" s="1"/>
  <c r="G17" i="3"/>
  <c r="I17" i="3" s="1"/>
  <c r="G16" i="3"/>
  <c r="I16" i="3" s="1"/>
  <c r="H8" i="3"/>
  <c r="K8" i="3" s="1"/>
  <c r="K10" i="3" l="1"/>
  <c r="K11" i="3"/>
  <c r="H48" i="4"/>
  <c r="H49" i="4"/>
  <c r="K49" i="4" s="1"/>
  <c r="H50" i="4"/>
  <c r="K50" i="4" s="1"/>
  <c r="I6" i="7"/>
  <c r="K27" i="3"/>
  <c r="I18" i="3"/>
  <c r="L49" i="4"/>
  <c r="L67" i="4"/>
  <c r="L45" i="4"/>
  <c r="L48" i="4"/>
  <c r="L47" i="4"/>
  <c r="L46" i="4"/>
  <c r="L50" i="4"/>
  <c r="L68" i="4"/>
  <c r="B94" i="15"/>
  <c r="I27" i="3"/>
  <c r="J27" i="3" s="1"/>
  <c r="J28" i="3" s="1"/>
  <c r="J29" i="3" s="1"/>
  <c r="J6" i="3" s="1"/>
  <c r="J7" i="3" s="1"/>
  <c r="J8" i="3" s="1"/>
  <c r="J9" i="3" s="1"/>
  <c r="J10" i="3" s="1"/>
  <c r="J11" i="3" s="1"/>
  <c r="K21" i="3"/>
  <c r="H60" i="4"/>
  <c r="K60" i="4" s="1"/>
  <c r="H61" i="4"/>
  <c r="K61" i="4" s="1"/>
  <c r="I22" i="3"/>
  <c r="K22" i="3"/>
  <c r="H65" i="4"/>
  <c r="K65" i="4" s="1"/>
  <c r="K46" i="4"/>
  <c r="K47" i="4"/>
  <c r="H51" i="4"/>
  <c r="K51" i="4" s="1"/>
  <c r="H63" i="4"/>
  <c r="K63" i="4" s="1"/>
  <c r="H56" i="4"/>
  <c r="K56" i="4" s="1"/>
  <c r="H54" i="4"/>
  <c r="K54" i="4" s="1"/>
  <c r="H55" i="4"/>
  <c r="K55" i="4" s="1"/>
  <c r="H52" i="4"/>
  <c r="K52" i="4" s="1"/>
  <c r="I15" i="3"/>
  <c r="K68" i="4"/>
  <c r="H62" i="4"/>
  <c r="L62" i="4" s="1"/>
  <c r="I14" i="3"/>
  <c r="K17" i="3"/>
  <c r="H53" i="4"/>
  <c r="K53" i="4" s="1"/>
  <c r="H66" i="4"/>
  <c r="L66" i="4" s="1"/>
  <c r="H58" i="4"/>
  <c r="K58" i="4" s="1"/>
  <c r="K45" i="4"/>
  <c r="K26" i="3"/>
  <c r="H57" i="4"/>
  <c r="K57" i="4" s="1"/>
  <c r="H59" i="4"/>
  <c r="K59" i="4" s="1"/>
  <c r="H64" i="4"/>
  <c r="K64" i="4" s="1"/>
  <c r="K67" i="4"/>
  <c r="Z67" i="4" s="1"/>
  <c r="X30" i="1" s="1"/>
  <c r="K48" i="4"/>
  <c r="K25" i="3"/>
  <c r="I12" i="3"/>
  <c r="I19" i="3"/>
  <c r="K16" i="3"/>
  <c r="I20" i="3"/>
  <c r="H30" i="3"/>
  <c r="M17" i="3" s="1"/>
  <c r="G30" i="3"/>
  <c r="M10" i="3"/>
  <c r="I24" i="3"/>
  <c r="I13" i="3"/>
  <c r="K62" i="4" l="1"/>
  <c r="M62" i="4" s="1"/>
  <c r="O62" i="4" s="1"/>
  <c r="K25" i="1" s="1"/>
  <c r="D134" i="15" s="1"/>
  <c r="M50" i="4"/>
  <c r="N50" i="4" s="1"/>
  <c r="Z46" i="4"/>
  <c r="X9" i="1" s="1"/>
  <c r="M68" i="4"/>
  <c r="O68" i="4" s="1"/>
  <c r="K31" i="1" s="1"/>
  <c r="D140" i="15" s="1"/>
  <c r="Z48" i="4"/>
  <c r="X11" i="1" s="1"/>
  <c r="L51" i="4"/>
  <c r="L53" i="4"/>
  <c r="M49" i="4"/>
  <c r="O49" i="4" s="1"/>
  <c r="K12" i="1" s="1"/>
  <c r="D121" i="15" s="1"/>
  <c r="L65" i="4"/>
  <c r="L52" i="4"/>
  <c r="L57" i="4"/>
  <c r="L64" i="4"/>
  <c r="L63" i="4"/>
  <c r="L59" i="4"/>
  <c r="L55" i="4"/>
  <c r="M45" i="4"/>
  <c r="N45" i="4" s="1"/>
  <c r="J8" i="1" s="1"/>
  <c r="C117" i="15" s="1"/>
  <c r="L58" i="4"/>
  <c r="L54" i="4"/>
  <c r="L56" i="4"/>
  <c r="Z47" i="4"/>
  <c r="X10" i="1" s="1"/>
  <c r="L61" i="4"/>
  <c r="L60" i="4"/>
  <c r="K66" i="4"/>
  <c r="M66" i="4" s="1"/>
  <c r="O66" i="4" s="1"/>
  <c r="K29" i="1" s="1"/>
  <c r="D138" i="15" s="1"/>
  <c r="I15" i="7"/>
  <c r="M46" i="4"/>
  <c r="N46" i="4" s="1"/>
  <c r="J9" i="1" s="1"/>
  <c r="C118" i="15" s="1"/>
  <c r="L6" i="16"/>
  <c r="Z49" i="4"/>
  <c r="X12" i="1" s="1"/>
  <c r="Z68" i="4"/>
  <c r="X31" i="1" s="1"/>
  <c r="M47" i="4"/>
  <c r="N47" i="4" s="1"/>
  <c r="J10" i="1" s="1"/>
  <c r="C119" i="15" s="1"/>
  <c r="Z45" i="4"/>
  <c r="X8" i="1" s="1"/>
  <c r="C13" i="8"/>
  <c r="C14" i="8" s="1"/>
  <c r="C17" i="8" s="1"/>
  <c r="C20" i="8" s="1"/>
  <c r="C22" i="8" s="1"/>
  <c r="M48" i="4"/>
  <c r="O48" i="4" s="1"/>
  <c r="K11" i="1" s="1"/>
  <c r="D120" i="15" s="1"/>
  <c r="M67" i="4"/>
  <c r="N67" i="4" s="1"/>
  <c r="J30" i="1" s="1"/>
  <c r="C139" i="15" s="1"/>
  <c r="M8" i="3"/>
  <c r="H69" i="4"/>
  <c r="Z50" i="4"/>
  <c r="X13" i="1" s="1"/>
  <c r="AC10" i="1"/>
  <c r="N33" i="1" s="1"/>
  <c r="J12" i="3"/>
  <c r="J13" i="3" s="1"/>
  <c r="J14" i="3" s="1"/>
  <c r="J15" i="3" s="1"/>
  <c r="J16" i="3" s="1"/>
  <c r="J17" i="3" s="1"/>
  <c r="J18" i="3" s="1"/>
  <c r="J19" i="3" s="1"/>
  <c r="J20" i="3" s="1"/>
  <c r="J21" i="3" s="1"/>
  <c r="J22" i="3" s="1"/>
  <c r="J23" i="3" s="1"/>
  <c r="J24" i="3" s="1"/>
  <c r="K30" i="3"/>
  <c r="M16" i="3"/>
  <c r="M18" i="3" s="1"/>
  <c r="I30" i="3"/>
  <c r="L6" i="24"/>
  <c r="L6" i="20"/>
  <c r="L6" i="17"/>
  <c r="L6" i="22"/>
  <c r="L6" i="19"/>
  <c r="L6" i="21"/>
  <c r="L6" i="18"/>
  <c r="L6" i="23"/>
  <c r="O50" i="4" l="1"/>
  <c r="K13" i="1" s="1"/>
  <c r="D122" i="15" s="1"/>
  <c r="J13" i="1"/>
  <c r="C122" i="15" s="1"/>
  <c r="N68" i="4"/>
  <c r="J31" i="1" s="1"/>
  <c r="C140" i="15" s="1"/>
  <c r="M54" i="4"/>
  <c r="N54" i="4" s="1"/>
  <c r="J17" i="1" s="1"/>
  <c r="M52" i="4"/>
  <c r="N52" i="4" s="1"/>
  <c r="M61" i="4"/>
  <c r="N61" i="4" s="1"/>
  <c r="J24" i="1" s="1"/>
  <c r="M58" i="4"/>
  <c r="O58" i="4" s="1"/>
  <c r="K21" i="1" s="1"/>
  <c r="D130" i="15" s="1"/>
  <c r="M63" i="4"/>
  <c r="O63" i="4" s="1"/>
  <c r="K26" i="1" s="1"/>
  <c r="D135" i="15" s="1"/>
  <c r="M65" i="4"/>
  <c r="N65" i="4" s="1"/>
  <c r="M59" i="4"/>
  <c r="N59" i="4" s="1"/>
  <c r="J22" i="1" s="1"/>
  <c r="M51" i="4"/>
  <c r="N51" i="4" s="1"/>
  <c r="M64" i="4"/>
  <c r="O64" i="4" s="1"/>
  <c r="K27" i="1" s="1"/>
  <c r="D136" i="15" s="1"/>
  <c r="M60" i="4"/>
  <c r="O60" i="4" s="1"/>
  <c r="K23" i="1" s="1"/>
  <c r="D132" i="15" s="1"/>
  <c r="M56" i="4"/>
  <c r="O56" i="4" s="1"/>
  <c r="K19" i="1" s="1"/>
  <c r="D128" i="15" s="1"/>
  <c r="M55" i="4"/>
  <c r="O55" i="4" s="1"/>
  <c r="K18" i="1" s="1"/>
  <c r="D127" i="15" s="1"/>
  <c r="M57" i="4"/>
  <c r="O57" i="4" s="1"/>
  <c r="K20" i="1" s="1"/>
  <c r="D129" i="15" s="1"/>
  <c r="M53" i="4"/>
  <c r="O53" i="4" s="1"/>
  <c r="K16" i="1" s="1"/>
  <c r="D125" i="15" s="1"/>
  <c r="N62" i="4"/>
  <c r="X62" i="4" s="1"/>
  <c r="I25" i="1" s="1"/>
  <c r="B134" i="15" s="1"/>
  <c r="O45" i="4"/>
  <c r="K8" i="1" s="1"/>
  <c r="D117" i="15" s="1"/>
  <c r="N49" i="4"/>
  <c r="O47" i="4"/>
  <c r="K10" i="1" s="1"/>
  <c r="N66" i="4"/>
  <c r="X66" i="4" s="1"/>
  <c r="I29" i="1" s="1"/>
  <c r="B138" i="15" s="1"/>
  <c r="Z66" i="4"/>
  <c r="X29" i="1" s="1"/>
  <c r="O46" i="4"/>
  <c r="K9" i="1" s="1"/>
  <c r="O67" i="4"/>
  <c r="K30" i="1" s="1"/>
  <c r="N48" i="4"/>
  <c r="J50" i="4" l="1"/>
  <c r="E122" i="15" s="1"/>
  <c r="H122" i="15" s="1"/>
  <c r="O52" i="4"/>
  <c r="K15" i="1" s="1"/>
  <c r="D124" i="15" s="1"/>
  <c r="X50" i="4"/>
  <c r="I13" i="1" s="1"/>
  <c r="B122" i="15" s="1"/>
  <c r="J11" i="1"/>
  <c r="C120" i="15" s="1"/>
  <c r="X48" i="4"/>
  <c r="I11" i="1" s="1"/>
  <c r="B120" i="15" s="1"/>
  <c r="J12" i="1"/>
  <c r="C121" i="15" s="1"/>
  <c r="X49" i="4"/>
  <c r="I12" i="1" s="1"/>
  <c r="B121" i="15" s="1"/>
  <c r="J68" i="4"/>
  <c r="E140" i="15" s="1"/>
  <c r="I140" i="15" s="1"/>
  <c r="O54" i="4"/>
  <c r="K17" i="1" s="1"/>
  <c r="D126" i="15" s="1"/>
  <c r="O65" i="4"/>
  <c r="K28" i="1" s="1"/>
  <c r="D137" i="15" s="1"/>
  <c r="N63" i="4"/>
  <c r="J26" i="1" s="1"/>
  <c r="C135" i="15" s="1"/>
  <c r="I135" i="15" s="1"/>
  <c r="N64" i="4"/>
  <c r="J27" i="1" s="1"/>
  <c r="C136" i="15" s="1"/>
  <c r="I136" i="15" s="1"/>
  <c r="N57" i="4"/>
  <c r="J20" i="1" s="1"/>
  <c r="C129" i="15" s="1"/>
  <c r="I129" i="15" s="1"/>
  <c r="J45" i="4"/>
  <c r="E117" i="15" s="1"/>
  <c r="N60" i="4"/>
  <c r="X60" i="4" s="1"/>
  <c r="I23" i="1" s="1"/>
  <c r="B132" i="15" s="1"/>
  <c r="N53" i="4"/>
  <c r="J16" i="1" s="1"/>
  <c r="C125" i="15" s="1"/>
  <c r="I125" i="15" s="1"/>
  <c r="N56" i="4"/>
  <c r="J19" i="1" s="1"/>
  <c r="C128" i="15" s="1"/>
  <c r="I128" i="15" s="1"/>
  <c r="O61" i="4"/>
  <c r="K24" i="1" s="1"/>
  <c r="D133" i="15" s="1"/>
  <c r="O59" i="4"/>
  <c r="K22" i="1" s="1"/>
  <c r="D131" i="15" s="1"/>
  <c r="N58" i="4"/>
  <c r="J21" i="1" s="1"/>
  <c r="C130" i="15" s="1"/>
  <c r="I130" i="15" s="1"/>
  <c r="O51" i="4"/>
  <c r="K14" i="1" s="1"/>
  <c r="D123" i="15" s="1"/>
  <c r="N55" i="4"/>
  <c r="J18" i="1" s="1"/>
  <c r="C127" i="15" s="1"/>
  <c r="I127" i="15" s="1"/>
  <c r="J14" i="1"/>
  <c r="C126" i="15"/>
  <c r="C131" i="15"/>
  <c r="J67" i="4"/>
  <c r="E139" i="15" s="1"/>
  <c r="D139" i="15"/>
  <c r="J46" i="4"/>
  <c r="E118" i="15" s="1"/>
  <c r="D118" i="15"/>
  <c r="J47" i="4"/>
  <c r="E119" i="15" s="1"/>
  <c r="D119" i="15"/>
  <c r="C133" i="15"/>
  <c r="J25" i="1"/>
  <c r="J29" i="1"/>
  <c r="C138" i="15" s="1"/>
  <c r="J28" i="1"/>
  <c r="J15" i="1"/>
  <c r="I122" i="15" l="1"/>
  <c r="J49" i="4"/>
  <c r="E121" i="15" s="1"/>
  <c r="I121" i="15" s="1"/>
  <c r="X52" i="4"/>
  <c r="I15" i="1" s="1"/>
  <c r="B124" i="15" s="1"/>
  <c r="X63" i="4"/>
  <c r="I26" i="1" s="1"/>
  <c r="B135" i="15" s="1"/>
  <c r="J48" i="4"/>
  <c r="E120" i="15" s="1"/>
  <c r="H120" i="15" s="1"/>
  <c r="H140" i="15"/>
  <c r="X57" i="4"/>
  <c r="I20" i="1" s="1"/>
  <c r="B129" i="15" s="1"/>
  <c r="X65" i="4"/>
  <c r="I28" i="1" s="1"/>
  <c r="B137" i="15" s="1"/>
  <c r="J23" i="1"/>
  <c r="J33" i="1" s="1"/>
  <c r="X64" i="4"/>
  <c r="I27" i="1" s="1"/>
  <c r="B136" i="15" s="1"/>
  <c r="X54" i="4"/>
  <c r="I17" i="1" s="1"/>
  <c r="B126" i="15" s="1"/>
  <c r="I126" i="15"/>
  <c r="X61" i="4"/>
  <c r="I24" i="1" s="1"/>
  <c r="B133" i="15" s="1"/>
  <c r="I133" i="15"/>
  <c r="X53" i="4"/>
  <c r="I16" i="1" s="1"/>
  <c r="B125" i="15" s="1"/>
  <c r="X58" i="4"/>
  <c r="I21" i="1" s="1"/>
  <c r="B130" i="15" s="1"/>
  <c r="X56" i="4"/>
  <c r="I19" i="1" s="1"/>
  <c r="B128" i="15" s="1"/>
  <c r="K33" i="1"/>
  <c r="I131" i="15"/>
  <c r="X59" i="4"/>
  <c r="I22" i="1" s="1"/>
  <c r="B131" i="15" s="1"/>
  <c r="I118" i="15"/>
  <c r="I139" i="15"/>
  <c r="D142" i="15"/>
  <c r="I119" i="15"/>
  <c r="I117" i="15"/>
  <c r="X55" i="4"/>
  <c r="I18" i="1" s="1"/>
  <c r="B127" i="15" s="1"/>
  <c r="H131" i="15"/>
  <c r="H133" i="15"/>
  <c r="H119" i="15"/>
  <c r="H136" i="15"/>
  <c r="H135" i="15"/>
  <c r="H125" i="15"/>
  <c r="H128" i="15"/>
  <c r="H126" i="15"/>
  <c r="H129" i="15"/>
  <c r="H127" i="15"/>
  <c r="H118" i="15"/>
  <c r="H139" i="15"/>
  <c r="H130" i="15"/>
  <c r="X51" i="4"/>
  <c r="I14" i="1" s="1"/>
  <c r="B123" i="15" s="1"/>
  <c r="H117" i="15"/>
  <c r="C134" i="15"/>
  <c r="I134" i="15" s="1"/>
  <c r="C137" i="15"/>
  <c r="I137" i="15" s="1"/>
  <c r="C124" i="15"/>
  <c r="I124" i="15" s="1"/>
  <c r="C123" i="15"/>
  <c r="I123" i="15" s="1"/>
  <c r="J66" i="4"/>
  <c r="E138" i="15" s="1"/>
  <c r="H121" i="15" l="1"/>
  <c r="E142" i="15"/>
  <c r="I120" i="15"/>
  <c r="C132" i="15"/>
  <c r="I132" i="15" s="1"/>
  <c r="B25" i="21" s="1"/>
  <c r="B28" i="21" s="1"/>
  <c r="L12" i="21" s="1"/>
  <c r="M12" i="21" s="1"/>
  <c r="B28" i="7"/>
  <c r="I19" i="7" s="1"/>
  <c r="B142" i="15"/>
  <c r="B89" i="15"/>
  <c r="I33" i="1"/>
  <c r="I138" i="15"/>
  <c r="B51" i="22" s="1"/>
  <c r="B54" i="22" s="1"/>
  <c r="L24" i="22" s="1"/>
  <c r="M24" i="22" s="1"/>
  <c r="B88" i="15"/>
  <c r="X69" i="4"/>
  <c r="H137" i="15"/>
  <c r="H123" i="15"/>
  <c r="H134" i="15"/>
  <c r="H138" i="15"/>
  <c r="H124" i="15"/>
  <c r="AC9" i="1"/>
  <c r="M33" i="1" s="1"/>
  <c r="J69" i="4"/>
  <c r="B24" i="19" l="1"/>
  <c r="L11" i="19" s="1"/>
  <c r="M11" i="19" s="1"/>
  <c r="B42" i="23"/>
  <c r="B45" i="23" s="1"/>
  <c r="B25" i="19"/>
  <c r="B28" i="19" s="1"/>
  <c r="L12" i="19" s="1"/>
  <c r="M12" i="19" s="1"/>
  <c r="B25" i="20"/>
  <c r="B28" i="20" s="1"/>
  <c r="L12" i="20" s="1"/>
  <c r="M12" i="20" s="1"/>
  <c r="B24" i="21"/>
  <c r="L11" i="21" s="1"/>
  <c r="M11" i="21" s="1"/>
  <c r="C142" i="15"/>
  <c r="B24" i="20"/>
  <c r="L11" i="20" s="1"/>
  <c r="M11" i="20" s="1"/>
  <c r="H132" i="15"/>
  <c r="H142" i="15" s="1"/>
  <c r="B32" i="23"/>
  <c r="L11" i="23" s="1"/>
  <c r="M11" i="23" s="1"/>
  <c r="B42" i="22"/>
  <c r="B45" i="22" s="1"/>
  <c r="B42" i="24"/>
  <c r="B45" i="24" s="1"/>
  <c r="B90" i="15"/>
  <c r="B91" i="15" s="1"/>
  <c r="W6" i="1" s="1"/>
  <c r="Q33" i="1" s="1"/>
  <c r="L7" i="16" s="1"/>
  <c r="L33" i="1"/>
  <c r="I142" i="15"/>
  <c r="B32" i="22"/>
  <c r="L11" i="22" s="1"/>
  <c r="B33" i="24"/>
  <c r="B36" i="24" s="1"/>
  <c r="L12" i="24" s="1"/>
  <c r="M12" i="24" s="1"/>
  <c r="B33" i="23"/>
  <c r="B36" i="23" s="1"/>
  <c r="L12" i="23" s="1"/>
  <c r="M12" i="23" s="1"/>
  <c r="B33" i="22"/>
  <c r="B36" i="22" s="1"/>
  <c r="L12" i="22" s="1"/>
  <c r="M12" i="22" s="1"/>
  <c r="B32" i="24"/>
  <c r="L11" i="24" s="1"/>
  <c r="B19" i="18"/>
  <c r="L11" i="18" s="1"/>
  <c r="B20" i="18"/>
  <c r="B21" i="18" s="1"/>
  <c r="B22" i="18" s="1"/>
  <c r="L12" i="18" s="1"/>
  <c r="M12" i="18" s="1"/>
  <c r="B18" i="18"/>
  <c r="B24" i="18" s="1"/>
  <c r="B18" i="16"/>
  <c r="B24" i="16" s="1"/>
  <c r="B19" i="16"/>
  <c r="L11" i="16" s="1"/>
  <c r="B19" i="17"/>
  <c r="B25" i="17" s="1"/>
  <c r="L16" i="17" s="1"/>
  <c r="M16" i="17" s="1"/>
  <c r="B18" i="17"/>
  <c r="B24" i="17" s="1"/>
  <c r="B31" i="22"/>
  <c r="B23" i="19"/>
  <c r="B32" i="19" s="1"/>
  <c r="B20" i="17"/>
  <c r="B21" i="17" s="1"/>
  <c r="B22" i="17" s="1"/>
  <c r="L12" i="17" s="1"/>
  <c r="M12" i="17" s="1"/>
  <c r="B23" i="20"/>
  <c r="B32" i="20" s="1"/>
  <c r="B34" i="21"/>
  <c r="B37" i="21" s="1"/>
  <c r="L18" i="21" s="1"/>
  <c r="M18" i="21" s="1"/>
  <c r="B23" i="21"/>
  <c r="B32" i="21" s="1"/>
  <c r="B20" i="16"/>
  <c r="B21" i="16" s="1"/>
  <c r="B22" i="16" s="1"/>
  <c r="L12" i="16" s="1"/>
  <c r="M12" i="16" s="1"/>
  <c r="B40" i="22"/>
  <c r="B49" i="22" s="1"/>
  <c r="B50" i="24"/>
  <c r="B33" i="20"/>
  <c r="L17" i="20" s="1"/>
  <c r="M17" i="20" s="1"/>
  <c r="B40" i="23"/>
  <c r="B49" i="23" s="1"/>
  <c r="B31" i="24"/>
  <c r="B33" i="21"/>
  <c r="L17" i="21" s="1"/>
  <c r="M17" i="21" s="1"/>
  <c r="B50" i="22"/>
  <c r="M23" i="22" s="1"/>
  <c r="B40" i="24"/>
  <c r="B49" i="24" s="1"/>
  <c r="B31" i="23"/>
  <c r="B51" i="23"/>
  <c r="B54" i="23" s="1"/>
  <c r="L24" i="23" s="1"/>
  <c r="M24" i="23" s="1"/>
  <c r="B34" i="20"/>
  <c r="B37" i="20" s="1"/>
  <c r="L18" i="20" s="1"/>
  <c r="M18" i="20" s="1"/>
  <c r="B34" i="19"/>
  <c r="B37" i="19" s="1"/>
  <c r="L18" i="19" s="1"/>
  <c r="M18" i="19" s="1"/>
  <c r="B50" i="23"/>
  <c r="B33" i="19"/>
  <c r="L17" i="19" s="1"/>
  <c r="M17" i="19" s="1"/>
  <c r="B51" i="24"/>
  <c r="B54" i="24" s="1"/>
  <c r="L24" i="24" s="1"/>
  <c r="M24" i="24" s="1"/>
  <c r="L7" i="23" l="1"/>
  <c r="L7" i="17"/>
  <c r="T33" i="1"/>
  <c r="S33" i="1" s="1"/>
  <c r="L7" i="22"/>
  <c r="I16" i="7"/>
  <c r="I21" i="7" s="1"/>
  <c r="G23" i="7" s="1"/>
  <c r="L7" i="20"/>
  <c r="L7" i="19"/>
  <c r="H12" i="7"/>
  <c r="L7" i="18"/>
  <c r="B151" i="15"/>
  <c r="L7" i="24"/>
  <c r="L7" i="21"/>
  <c r="B52" i="24"/>
  <c r="B53" i="24" s="1"/>
  <c r="B55" i="24" s="1"/>
  <c r="B43" i="23"/>
  <c r="B44" i="23" s="1"/>
  <c r="B46" i="23" s="1"/>
  <c r="B47" i="23" s="1"/>
  <c r="B34" i="22"/>
  <c r="B35" i="22" s="1"/>
  <c r="B37" i="22" s="1"/>
  <c r="B26" i="20"/>
  <c r="B27" i="20" s="1"/>
  <c r="B29" i="20" s="1"/>
  <c r="B43" i="24"/>
  <c r="B44" i="24" s="1"/>
  <c r="B46" i="24" s="1"/>
  <c r="B47" i="24" s="1"/>
  <c r="B52" i="23"/>
  <c r="B53" i="23" s="1"/>
  <c r="B55" i="23" s="1"/>
  <c r="B35" i="21"/>
  <c r="B36" i="21" s="1"/>
  <c r="B38" i="21" s="1"/>
  <c r="B35" i="19"/>
  <c r="B36" i="19" s="1"/>
  <c r="B38" i="19" s="1"/>
  <c r="B34" i="24"/>
  <c r="B35" i="24" s="1"/>
  <c r="B37" i="24" s="1"/>
  <c r="B52" i="22"/>
  <c r="B53" i="22" s="1"/>
  <c r="B55" i="22" s="1"/>
  <c r="B26" i="21"/>
  <c r="B27" i="21" s="1"/>
  <c r="B29" i="21" s="1"/>
  <c r="B34" i="23"/>
  <c r="B35" i="23" s="1"/>
  <c r="B37" i="23" s="1"/>
  <c r="B43" i="22"/>
  <c r="B44" i="22" s="1"/>
  <c r="B46" i="22" s="1"/>
  <c r="B47" i="22" s="1"/>
  <c r="B35" i="20"/>
  <c r="B36" i="20" s="1"/>
  <c r="B38" i="20" s="1"/>
  <c r="B26" i="19"/>
  <c r="B27" i="19" s="1"/>
  <c r="B29" i="19" s="1"/>
  <c r="M11" i="24"/>
  <c r="B26" i="18"/>
  <c r="B27" i="18" s="1"/>
  <c r="B28" i="18" s="1"/>
  <c r="L17" i="18" s="1"/>
  <c r="M17" i="18" s="1"/>
  <c r="L11" i="17"/>
  <c r="M11" i="17" s="1"/>
  <c r="M13" i="17" s="1"/>
  <c r="M11" i="22"/>
  <c r="B25" i="18"/>
  <c r="L16" i="18" s="1"/>
  <c r="M16" i="18" s="1"/>
  <c r="B25" i="16"/>
  <c r="L16" i="16" s="1"/>
  <c r="M16" i="16" s="1"/>
  <c r="B26" i="17"/>
  <c r="B27" i="17" s="1"/>
  <c r="B28" i="17" s="1"/>
  <c r="L17" i="17" s="1"/>
  <c r="M17" i="17" s="1"/>
  <c r="M18" i="17" s="1"/>
  <c r="B26" i="16"/>
  <c r="B27" i="16" s="1"/>
  <c r="B28" i="16" s="1"/>
  <c r="L17" i="16" s="1"/>
  <c r="M17" i="16" s="1"/>
  <c r="M11" i="18"/>
  <c r="M13" i="18" s="1"/>
  <c r="M11" i="16"/>
  <c r="M13" i="16" s="1"/>
  <c r="B154" i="15" l="1"/>
  <c r="B155" i="15" s="1"/>
  <c r="G149" i="15" s="1"/>
  <c r="M18" i="18"/>
  <c r="M20" i="18" s="1"/>
  <c r="M21" i="18" s="1"/>
  <c r="G27" i="18" s="1"/>
  <c r="M18" i="16"/>
  <c r="M20" i="16" s="1"/>
  <c r="M21" i="16" s="1"/>
  <c r="G27" i="16" s="1"/>
  <c r="M20" i="17"/>
  <c r="M21" i="17" s="1"/>
  <c r="G27" i="17" s="1"/>
  <c r="L13" i="20"/>
  <c r="M13" i="20" s="1"/>
  <c r="M14" i="20" s="1"/>
  <c r="B30" i="20"/>
  <c r="L13" i="19"/>
  <c r="M13" i="19" s="1"/>
  <c r="M14" i="19" s="1"/>
  <c r="B30" i="19"/>
  <c r="L19" i="20"/>
  <c r="M19" i="20" s="1"/>
  <c r="M20" i="20" s="1"/>
  <c r="B39" i="20"/>
  <c r="L13" i="23"/>
  <c r="M13" i="23" s="1"/>
  <c r="M14" i="23" s="1"/>
  <c r="B38" i="23"/>
  <c r="L25" i="24"/>
  <c r="M25" i="24" s="1"/>
  <c r="M26" i="24" s="1"/>
  <c r="B56" i="24"/>
  <c r="L13" i="21"/>
  <c r="M13" i="21" s="1"/>
  <c r="M14" i="21" s="1"/>
  <c r="B30" i="21"/>
  <c r="L19" i="19"/>
  <c r="M19" i="19" s="1"/>
  <c r="M20" i="19" s="1"/>
  <c r="B39" i="19"/>
  <c r="L19" i="21"/>
  <c r="M19" i="21" s="1"/>
  <c r="M20" i="21" s="1"/>
  <c r="B39" i="21"/>
  <c r="L25" i="23"/>
  <c r="M25" i="23" s="1"/>
  <c r="M26" i="23" s="1"/>
  <c r="B56" i="23"/>
  <c r="L13" i="24"/>
  <c r="M13" i="24" s="1"/>
  <c r="M14" i="24" s="1"/>
  <c r="B38" i="24"/>
  <c r="L25" i="22"/>
  <c r="M25" i="22" s="1"/>
  <c r="M26" i="22" s="1"/>
  <c r="B56" i="22"/>
  <c r="L13" i="22"/>
  <c r="M13" i="22" s="1"/>
  <c r="M14" i="22" s="1"/>
  <c r="B38" i="22"/>
  <c r="G155" i="15" l="1"/>
  <c r="F155" i="15" s="1"/>
  <c r="G154" i="15"/>
  <c r="I154" i="15" s="1"/>
  <c r="J154" i="15" s="1"/>
  <c r="G156" i="15"/>
  <c r="F156" i="15" s="1"/>
  <c r="G157" i="15"/>
  <c r="G150" i="15"/>
  <c r="G153" i="15"/>
  <c r="G151" i="15"/>
  <c r="F151" i="15" s="1"/>
  <c r="G152" i="15"/>
  <c r="F149" i="15"/>
  <c r="I149" i="15"/>
  <c r="J149" i="15" s="1"/>
  <c r="M23" i="21"/>
  <c r="M24" i="21" s="1"/>
  <c r="M23" i="19"/>
  <c r="C106" i="15"/>
  <c r="G28" i="17"/>
  <c r="G29" i="17" s="1"/>
  <c r="C103" i="15"/>
  <c r="G28" i="16"/>
  <c r="G29" i="16" s="1"/>
  <c r="C108" i="15"/>
  <c r="G28" i="18"/>
  <c r="G29" i="18" s="1"/>
  <c r="M23" i="20"/>
  <c r="I156" i="15" l="1"/>
  <c r="J156" i="15" s="1"/>
  <c r="F154" i="15"/>
  <c r="I155" i="15"/>
  <c r="J155" i="15" s="1"/>
  <c r="F157" i="15"/>
  <c r="I157" i="15"/>
  <c r="J157" i="15" s="1"/>
  <c r="F152" i="15"/>
  <c r="I152" i="15"/>
  <c r="J152" i="15" s="1"/>
  <c r="G158" i="15"/>
  <c r="F153" i="15"/>
  <c r="I153" i="15"/>
  <c r="J153" i="15" s="1"/>
  <c r="I151" i="15"/>
  <c r="J151" i="15" s="1"/>
  <c r="I150" i="15"/>
  <c r="J150" i="15" s="1"/>
  <c r="F150" i="15"/>
  <c r="G29" i="21"/>
  <c r="C111" i="15" s="1"/>
  <c r="M24" i="20"/>
  <c r="G29" i="20"/>
  <c r="M24" i="19"/>
  <c r="G29" i="19"/>
  <c r="F158" i="15" l="1"/>
  <c r="B157" i="15"/>
  <c r="B156" i="15"/>
  <c r="G30" i="21"/>
  <c r="G31" i="21" s="1"/>
  <c r="C110" i="15"/>
  <c r="G30" i="20"/>
  <c r="G31" i="20" s="1"/>
  <c r="C105" i="15"/>
  <c r="G30" i="19"/>
  <c r="G31" i="19" s="1"/>
  <c r="B158" i="15" l="1"/>
  <c r="B41" i="23" s="1"/>
  <c r="L17" i="23" s="1"/>
  <c r="M17" i="23" s="1"/>
  <c r="B41" i="22" l="1"/>
  <c r="L17" i="22" s="1"/>
  <c r="M17" i="22" s="1"/>
  <c r="L18" i="23"/>
  <c r="L19" i="23" s="1"/>
  <c r="M19" i="23" s="1"/>
  <c r="B41" i="24"/>
  <c r="L17" i="24" s="1"/>
  <c r="M18" i="23" l="1"/>
  <c r="M20" i="23" s="1"/>
  <c r="M28" i="23" s="1"/>
  <c r="M29" i="23" s="1"/>
  <c r="G34" i="23" s="1"/>
  <c r="G35" i="23" s="1"/>
  <c r="G36" i="23" s="1"/>
  <c r="L18" i="22"/>
  <c r="M18" i="22" s="1"/>
  <c r="L18" i="24"/>
  <c r="M17" i="24"/>
  <c r="C107" i="15" l="1"/>
  <c r="L19" i="22"/>
  <c r="M19" i="22" s="1"/>
  <c r="M20" i="22" s="1"/>
  <c r="M28" i="22" s="1"/>
  <c r="M29" i="22" s="1"/>
  <c r="G34" i="22" s="1"/>
  <c r="C104" i="15" s="1"/>
  <c r="L19" i="24"/>
  <c r="M19" i="24" s="1"/>
  <c r="M18" i="24"/>
  <c r="G35" i="22" l="1"/>
  <c r="G36" i="22" s="1"/>
  <c r="M20" i="24"/>
  <c r="M28" i="24" s="1"/>
  <c r="M29" i="24" s="1"/>
  <c r="G34" i="24" s="1"/>
  <c r="C109" i="15" s="1"/>
  <c r="I8" i="7" s="1"/>
  <c r="I9" i="7" s="1"/>
  <c r="G24" i="7" s="1"/>
  <c r="G35" i="24" l="1"/>
  <c r="G36" i="24" s="1"/>
</calcChain>
</file>

<file path=xl/comments1.xml><?xml version="1.0" encoding="utf-8"?>
<comments xmlns="http://schemas.openxmlformats.org/spreadsheetml/2006/main">
  <authors>
    <author>Paul Valenta</author>
  </authors>
  <commentList>
    <comment ref="W6" authorId="0" shapeId="0">
      <text>
        <r>
          <rPr>
            <sz val="9"/>
            <color indexed="81"/>
            <rFont val="Tahoma"/>
            <family val="2"/>
          </rPr>
          <t>Insert estimated net usable ton-hrs per 1190C tank. Confirm with IcePick Run for proper tank selection.</t>
        </r>
      </text>
    </comment>
    <comment ref="O33" authorId="0" shapeId="0">
      <text>
        <r>
          <rPr>
            <sz val="10"/>
            <color indexed="81"/>
            <rFont val="Tahoma"/>
            <family val="2"/>
          </rPr>
          <t>Quantity of 1190 modules depends upon Net Usable Capacity per 1190 module, CELL W6, which is dependeant upon system design temperatures and discharge length and rate.
Use cataglog or IcePick to verify Net Usable Capacity and tank quantities.</t>
        </r>
      </text>
    </comment>
  </commentList>
</comments>
</file>

<file path=xl/sharedStrings.xml><?xml version="1.0" encoding="utf-8"?>
<sst xmlns="http://schemas.openxmlformats.org/spreadsheetml/2006/main" count="1470" uniqueCount="375">
  <si>
    <t>PM</t>
  </si>
  <si>
    <t>HOUR</t>
  </si>
  <si>
    <t>IceBank® Inventory (Ton-Hrs.)</t>
  </si>
  <si>
    <t>IceBank® Discharge (tons)</t>
  </si>
  <si>
    <t>Ice Chiller Charging (tons)</t>
  </si>
  <si>
    <t>Ice Chiller Daytime (tons)</t>
  </si>
  <si>
    <t>Base Load Chiller 2 (tons)</t>
  </si>
  <si>
    <t>Base Load Chiller 1 (tons)</t>
  </si>
  <si>
    <t>Building Cooling Load Profile (tons)</t>
  </si>
  <si>
    <r>
      <rPr>
        <sz val="18"/>
        <color theme="0"/>
        <rFont val="Aachen Std Bold"/>
        <family val="1"/>
      </rPr>
      <t>CALMAC</t>
    </r>
    <r>
      <rPr>
        <sz val="18"/>
        <color theme="0"/>
        <rFont val="Arial"/>
        <family val="2"/>
      </rPr>
      <t xml:space="preserve"> IceBank® Energy Storage Load Shift Peak Day Cooling Load Profile</t>
    </r>
  </si>
  <si>
    <t>Hour</t>
  </si>
  <si>
    <t>Hour Type</t>
  </si>
  <si>
    <t>I</t>
  </si>
  <si>
    <t>Ice Making Derate</t>
  </si>
  <si>
    <t>Ice Chiller (nominal tons)</t>
  </si>
  <si>
    <t>Ice Making Hours</t>
  </si>
  <si>
    <t>Cooling Hours</t>
  </si>
  <si>
    <t>Building ton-hrs</t>
  </si>
  <si>
    <t>Base Load Chiller ton-hrs</t>
  </si>
  <si>
    <t>Ice Chiller Daytime tn-hrs</t>
  </si>
  <si>
    <t>IceBank® Storage tn-hrs</t>
  </si>
  <si>
    <t>Capacity available tn-hrs</t>
  </si>
  <si>
    <t xml:space="preserve">Profile Ton Hrs = </t>
  </si>
  <si>
    <t xml:space="preserve">Ice Making Chiller Size = </t>
  </si>
  <si>
    <t>Night Time Contribution</t>
  </si>
  <si>
    <t>Day Time Contribution</t>
  </si>
  <si>
    <t>Tons</t>
  </si>
  <si>
    <t>Base Chiller 1 Derating</t>
  </si>
  <si>
    <t>Base Chiller 2 Derating</t>
  </si>
  <si>
    <t>Ice Chiller 1 Derating</t>
  </si>
  <si>
    <t>Ice Chiller 2 Derating</t>
  </si>
  <si>
    <t xml:space="preserve">Total Cooling Load </t>
  </si>
  <si>
    <t>Ice Chiller</t>
  </si>
  <si>
    <t>Derating</t>
  </si>
  <si>
    <t>Cooling</t>
  </si>
  <si>
    <t>Load From</t>
  </si>
  <si>
    <t>BLC1</t>
  </si>
  <si>
    <t>BLC2</t>
  </si>
  <si>
    <t>Ice Chiller 1</t>
  </si>
  <si>
    <t>Ice Chiller 2</t>
  </si>
  <si>
    <t>Ice Chiller 1 (nominal tons)</t>
  </si>
  <si>
    <t>Ice Chiller 2 (nominal tons)</t>
  </si>
  <si>
    <t>Hour Type (CAPS)</t>
  </si>
  <si>
    <t>Ice Melt</t>
  </si>
  <si>
    <t>From "P"</t>
  </si>
  <si>
    <t>From "F"</t>
  </si>
  <si>
    <t>Chiller</t>
  </si>
  <si>
    <t>(nominal tons)</t>
  </si>
  <si>
    <t>Ice</t>
  </si>
  <si>
    <t xml:space="preserve">Ice Made = </t>
  </si>
  <si>
    <t xml:space="preserve">Ice Melted = </t>
  </si>
  <si>
    <t>IM Chill</t>
  </si>
  <si>
    <t>Sum</t>
  </si>
  <si>
    <t>Made</t>
  </si>
  <si>
    <t>Building Load (tons)</t>
  </si>
  <si>
    <t>Ice Chiller 1 Cooling</t>
  </si>
  <si>
    <t>Ice Chiller 2 Cooling</t>
  </si>
  <si>
    <t>Input Cell</t>
  </si>
  <si>
    <t>Project Name:</t>
  </si>
  <si>
    <t>Date:</t>
  </si>
  <si>
    <t>Non Default User Input</t>
  </si>
  <si>
    <t>Version</t>
  </si>
  <si>
    <t xml:space="preserve">     Project Location:</t>
  </si>
  <si>
    <t>IceBank® &amp; Ice Chiller(s) Cooling</t>
  </si>
  <si>
    <t>Total</t>
  </si>
  <si>
    <t>Cooling Contribution</t>
  </si>
  <si>
    <t>ton-hours</t>
  </si>
  <si>
    <t>BC 2</t>
  </si>
  <si>
    <t>BC 1</t>
  </si>
  <si>
    <t>IC 1</t>
  </si>
  <si>
    <t>IC 2</t>
  </si>
  <si>
    <t>1320C</t>
  </si>
  <si>
    <t>1500C</t>
  </si>
  <si>
    <t>1190C</t>
  </si>
  <si>
    <t>Discharge</t>
  </si>
  <si>
    <t>Charge</t>
  </si>
  <si>
    <t>Or</t>
  </si>
  <si>
    <t>Quantity</t>
  </si>
  <si>
    <t>IceBank Cooling</t>
  </si>
  <si>
    <t>IceBank</t>
  </si>
  <si>
    <t>IceBank tank model</t>
  </si>
  <si>
    <t>net usable</t>
  </si>
  <si>
    <t>Nightime Ice Making Default Contribution</t>
  </si>
  <si>
    <t>Daytime Cooling Default Contribution</t>
  </si>
  <si>
    <t>Nighttime Ice Making Default Contribution</t>
  </si>
  <si>
    <t>Daytime Default Contribution</t>
  </si>
  <si>
    <t>Nighttime Default Contribution</t>
  </si>
  <si>
    <t>Base Load Chiller 1 (nominal tons)</t>
  </si>
  <si>
    <t>Base Load Chiller 2 (nominal tons)</t>
  </si>
  <si>
    <r>
      <rPr>
        <sz val="28"/>
        <color rgb="FF00B0F0"/>
        <rFont val="Aachen Std Bold"/>
        <family val="1"/>
      </rPr>
      <t>C</t>
    </r>
    <r>
      <rPr>
        <sz val="28"/>
        <color rgb="FFFF0000"/>
        <rFont val="Aachen Std Bold"/>
        <family val="1"/>
      </rPr>
      <t>A</t>
    </r>
    <r>
      <rPr>
        <sz val="28"/>
        <color rgb="FFFFFF00"/>
        <rFont val="Aachen Std Bold"/>
        <family val="1"/>
      </rPr>
      <t>L</t>
    </r>
    <r>
      <rPr>
        <sz val="28"/>
        <color rgb="FF00B0F0"/>
        <rFont val="Aachen Std Bold"/>
        <family val="1"/>
      </rPr>
      <t>M</t>
    </r>
    <r>
      <rPr>
        <sz val="28"/>
        <color rgb="FF00B050"/>
        <rFont val="Aachen Std Bold"/>
        <family val="1"/>
      </rPr>
      <t>A</t>
    </r>
    <r>
      <rPr>
        <sz val="28"/>
        <color rgb="FFFF0000"/>
        <rFont val="Aachen Std Bold"/>
        <family val="1"/>
      </rPr>
      <t>C</t>
    </r>
    <r>
      <rPr>
        <sz val="36"/>
        <color theme="0"/>
        <rFont val="Calibri"/>
        <family val="2"/>
        <scheme val="minor"/>
      </rPr>
      <t xml:space="preserve"> IceBank</t>
    </r>
    <r>
      <rPr>
        <sz val="28"/>
        <color theme="0"/>
        <rFont val="Calibri"/>
        <family val="2"/>
        <scheme val="minor"/>
      </rPr>
      <t>®</t>
    </r>
    <r>
      <rPr>
        <sz val="36"/>
        <color theme="0"/>
        <rFont val="Calibri"/>
        <family val="2"/>
        <scheme val="minor"/>
      </rPr>
      <t xml:space="preserve"> Account</t>
    </r>
  </si>
  <si>
    <t>User:</t>
  </si>
  <si>
    <t xml:space="preserve">    Notes:  </t>
  </si>
  <si>
    <t>IceBank Energy Storage</t>
  </si>
  <si>
    <t>The purpose of this spreadsheet is to provide a cursory analysis of hybrid energy storage cooling systems. Input the highlighted boxes only.  This analysis is not intended to replace a rigorous engineering analysis and is only a cursory review.  Use IcePick to validate IceBank tank selection.  CALMAC accepts no responsibility or liability for the cooling system design.</t>
  </si>
  <si>
    <t>AVG BLC 1&amp;2</t>
  </si>
  <si>
    <t>Final</t>
  </si>
  <si>
    <r>
      <t xml:space="preserve">IcePick tn-hrs / </t>
    </r>
    <r>
      <rPr>
        <b/>
        <sz val="12"/>
        <color theme="1"/>
        <rFont val="Calibri"/>
        <family val="2"/>
        <scheme val="minor"/>
      </rPr>
      <t>1190C</t>
    </r>
  </si>
  <si>
    <t>Needs?</t>
  </si>
  <si>
    <t>Hour Met</t>
  </si>
  <si>
    <t>Protect These Cells &amp;</t>
  </si>
  <si>
    <t xml:space="preserve"> </t>
  </si>
  <si>
    <t>Mark Johnson</t>
  </si>
  <si>
    <t>ASDFS</t>
  </si>
  <si>
    <t>P</t>
  </si>
  <si>
    <t>Prepared by Calmac, August 2015</t>
  </si>
  <si>
    <t>OUTPUTS</t>
  </si>
  <si>
    <t>Chiller Plant Attributes</t>
  </si>
  <si>
    <t>Peak Cooling Load:</t>
  </si>
  <si>
    <t>Upfront Costs</t>
  </si>
  <si>
    <t>Costs--</t>
  </si>
  <si>
    <t xml:space="preserve">   Chiller</t>
  </si>
  <si>
    <t>Note: if no Heat Exchanger, type "0"</t>
  </si>
  <si>
    <t xml:space="preserve">   IceBanks</t>
  </si>
  <si>
    <t xml:space="preserve">   PFHX</t>
  </si>
  <si>
    <t xml:space="preserve">   Additional Costs</t>
  </si>
  <si>
    <t>Total First Costs:</t>
  </si>
  <si>
    <t>First Cost Premium</t>
  </si>
  <si>
    <t>Duke Legacy NC</t>
  </si>
  <si>
    <t>Demand Charge Summary</t>
  </si>
  <si>
    <t>Summer Demand Charges</t>
  </si>
  <si>
    <t>June-Sept</t>
  </si>
  <si>
    <t>Rest-of-Year Demand Charges</t>
  </si>
  <si>
    <t>6 additional months</t>
  </si>
  <si>
    <t>Total Demand Charge, Annual</t>
  </si>
  <si>
    <t>for 10 months of cooling</t>
  </si>
  <si>
    <t>Site Analysis</t>
  </si>
  <si>
    <t>Cooling Peak w/o IceBanks:</t>
  </si>
  <si>
    <t xml:space="preserve">  With IceBanks:</t>
  </si>
  <si>
    <t>Peak Ton Savings:</t>
  </si>
  <si>
    <t>Efficiency of A/C Chiller:</t>
  </si>
  <si>
    <t>Peak kW Savings:</t>
  </si>
  <si>
    <t>Economic Benefit</t>
  </si>
  <si>
    <t>Site peak kW Savings:</t>
  </si>
  <si>
    <t>Demand Charge, ann'l:</t>
  </si>
  <si>
    <t>Total annual savings:</t>
  </si>
  <si>
    <t>Total Chiller Use</t>
  </si>
  <si>
    <t>Note: IEACCP, controls, etc.</t>
  </si>
  <si>
    <t>Dual-Duty Chiller Cooling Efficiency</t>
  </si>
  <si>
    <t>Dual Duty Chiller Ice-Making Efficiency</t>
  </si>
  <si>
    <r>
      <t>&lt;--</t>
    </r>
    <r>
      <rPr>
        <i/>
        <sz val="11"/>
        <color theme="1"/>
        <rFont val="Calibri"/>
        <family val="2"/>
        <scheme val="minor"/>
      </rPr>
      <t>derived from load profile</t>
    </r>
  </si>
  <si>
    <t>Rebate</t>
  </si>
  <si>
    <t xml:space="preserve">   less Rebate</t>
  </si>
  <si>
    <t>Months of Cooling:</t>
  </si>
  <si>
    <t>Chiller Efficiency, standard chiller:</t>
  </si>
  <si>
    <t>INPUTS</t>
  </si>
  <si>
    <t>Peak Chiller Load w/Conventional Chiller:</t>
  </si>
  <si>
    <t>Peak Chiller Load w/Ice-based plant:</t>
  </si>
  <si>
    <t>No</t>
  </si>
  <si>
    <t xml:space="preserve">   less Mechanical Deducts</t>
  </si>
  <si>
    <t>If downsizing, choose $/ton savings;</t>
  </si>
  <si>
    <t>Savings from downsizing pipes</t>
  </si>
  <si>
    <t>Savings from downsizing ducts</t>
  </si>
  <si>
    <t>Savings from round ductwork</t>
  </si>
  <si>
    <t>Non Ice Chiller Cost</t>
  </si>
  <si>
    <t>Ice Making Chiller Cost</t>
  </si>
  <si>
    <t>Cost per IceBank tank</t>
  </si>
  <si>
    <t>Cost for HX</t>
  </si>
  <si>
    <t>Additional Costs for ice storage:</t>
  </si>
  <si>
    <t>otherwise type "0".  ~$50/ton for</t>
  </si>
  <si>
    <t>downsize pipe, ~$50/ton for downsize</t>
  </si>
  <si>
    <t>duct, ~$100/ton for round ductwork</t>
  </si>
  <si>
    <t>Scenario #1: Conventional Cooling</t>
  </si>
  <si>
    <t>Monthly Cooling Costs</t>
  </si>
  <si>
    <t>Amount</t>
  </si>
  <si>
    <t>Monthly Cost</t>
  </si>
  <si>
    <t>Total before Riders &amp; Tax:</t>
  </si>
  <si>
    <t>Conventional Cooling</t>
  </si>
  <si>
    <t>Average Load</t>
  </si>
  <si>
    <t>Max Load</t>
  </si>
  <si>
    <t>Total Annual, before Riders &amp; Tax:</t>
  </si>
  <si>
    <t>Cost Summary, Annual</t>
  </si>
  <si>
    <t>Cooling with Ice</t>
  </si>
  <si>
    <t>Annual Savings:</t>
  </si>
  <si>
    <t>Savings as a percentage:</t>
  </si>
  <si>
    <t>Size of chiller:</t>
  </si>
  <si>
    <t>Total kWh per month:</t>
  </si>
  <si>
    <t>Scenario #2: Chiller plus Ice Storage</t>
  </si>
  <si>
    <t>Chiller Size:</t>
  </si>
  <si>
    <t>Number of IceBanks:</t>
  </si>
  <si>
    <t>Simple Payback:</t>
  </si>
  <si>
    <t xml:space="preserve">Annual Cost Savings with Ice Storage </t>
  </si>
  <si>
    <t>Ice Maker 1</t>
  </si>
  <si>
    <t>Ice Maker 2</t>
  </si>
  <si>
    <t>Base 1</t>
  </si>
  <si>
    <t>Base 2</t>
  </si>
  <si>
    <t>Weekend load as percent of weekday:</t>
  </si>
  <si>
    <t>Weekday daily kWh:</t>
  </si>
  <si>
    <t>Weekend daily kWh:</t>
  </si>
  <si>
    <t>Chiller Tonnage:</t>
  </si>
  <si>
    <t>Chiller Loads for Ice Alternative - in kWh</t>
  </si>
  <si>
    <t>Customer Charge</t>
  </si>
  <si>
    <t>Demand Charge</t>
  </si>
  <si>
    <t>Customer Charge, monthly:</t>
  </si>
  <si>
    <t>Demand:</t>
  </si>
  <si>
    <t>Usage:</t>
  </si>
  <si>
    <t>Usage Charge:</t>
  </si>
  <si>
    <t>n/a</t>
  </si>
  <si>
    <t>Shoulder Season Cooling:</t>
  </si>
  <si>
    <t>On-Peak Usage</t>
  </si>
  <si>
    <t>Off-Peak Usage</t>
  </si>
  <si>
    <t>Weekday daily kWh, on-peak:</t>
  </si>
  <si>
    <t>Weekday daily kWh, off-peak:</t>
  </si>
  <si>
    <t>Demand &amp; kWh Calculations</t>
  </si>
  <si>
    <t>Rest of Year Loads from the Chiller Plant (excluding ice-making):</t>
  </si>
  <si>
    <t>Ice Cooling</t>
  </si>
  <si>
    <t>Chiller Load</t>
  </si>
  <si>
    <t>Cooling w/ice storage - summer months</t>
  </si>
  <si>
    <t>Peaks: 6-10am &amp; 6-10pm</t>
  </si>
  <si>
    <t>Total Load (kW)</t>
  </si>
  <si>
    <t>Taxes &amp; Franchise fees</t>
  </si>
  <si>
    <t>FL Taxes &amp; Franchise Fees:</t>
  </si>
  <si>
    <t>Total ton-hrs, ice:</t>
  </si>
  <si>
    <t>Total kWh shift, ice:</t>
  </si>
  <si>
    <t>$600/kW (1.1 kw/ton a-c; 0.6 kw/ton w-c)</t>
  </si>
  <si>
    <t>Total Annual:</t>
  </si>
  <si>
    <t>Hours</t>
  </si>
  <si>
    <t>Avg</t>
  </si>
  <si>
    <t>Return Temp</t>
  </si>
  <si>
    <t>Ice Hrs:</t>
  </si>
  <si>
    <t>Diversity:</t>
  </si>
  <si>
    <t>Eff. Hrs:</t>
  </si>
  <si>
    <t>Tons/tank:</t>
  </si>
  <si>
    <t>Tons per Tank Calculation:</t>
  </si>
  <si>
    <t>50F</t>
  </si>
  <si>
    <t>60F</t>
  </si>
  <si>
    <t>&lt;-- from ton-hour calculation</t>
  </si>
  <si>
    <t>IceBank Account Financial Model</t>
  </si>
  <si>
    <t>Developed by Calmac Corp., 2016</t>
  </si>
  <si>
    <t xml:space="preserve">The goal of this spreadsheet is to allow you to estimate the cost-benefit analysis of an ice storage system vis-à-vis traditional chiller cooling. </t>
  </si>
  <si>
    <t xml:space="preserve">The spreadsheet provides both a suggested chiller and IceBank selection, as well as the Simple Payback vs. traditional chillers. </t>
  </si>
  <si>
    <t>Instructions:</t>
  </si>
  <si>
    <t>Percent of summer peak load</t>
  </si>
  <si>
    <t xml:space="preserve">        Leave the first line, "Peak Cooling Load," blank - that is determined by the load curve. </t>
  </si>
  <si>
    <t xml:space="preserve">        If you have any questions, contact your Calmac Rep. </t>
  </si>
  <si>
    <t xml:space="preserve">1. Go to "Summary" tab and type in the various inputs in the red box. </t>
  </si>
  <si>
    <t>2. If you choose to manually input the load profile, go to the "IceBank Account" tab and input them there.</t>
  </si>
  <si>
    <t xml:space="preserve">3. If a 24-hour load is present, type in that load in "IceBank Account" cell P4 - this will be served by a baseload chiller. </t>
  </si>
  <si>
    <r>
      <t xml:space="preserve">This sheet, like all of its brethren, is intended to calculate paybacks at </t>
    </r>
    <r>
      <rPr>
        <u/>
        <sz val="11"/>
        <color theme="1"/>
        <rFont val="Calibri"/>
        <family val="2"/>
        <scheme val="minor"/>
      </rPr>
      <t>specific rate structures</t>
    </r>
    <r>
      <rPr>
        <sz val="11"/>
        <color theme="1"/>
        <rFont val="Calibri"/>
        <family val="2"/>
        <scheme val="minor"/>
      </rPr>
      <t xml:space="preserve"> within </t>
    </r>
    <r>
      <rPr>
        <u/>
        <sz val="11"/>
        <color theme="1"/>
        <rFont val="Calibri"/>
        <family val="2"/>
        <scheme val="minor"/>
      </rPr>
      <t>specific utilities</t>
    </r>
    <r>
      <rPr>
        <sz val="11"/>
        <color theme="1"/>
        <rFont val="Calibri"/>
        <family val="2"/>
        <scheme val="minor"/>
      </rPr>
      <t xml:space="preserve">. </t>
    </r>
  </si>
  <si>
    <t xml:space="preserve">4. Return to the "Summary" tab and you will see the Simple Payback of the ice storage installation, as well as other neat figures. </t>
  </si>
  <si>
    <t xml:space="preserve">        If you'd like to dive further into the financial analysis, check out the "Operating Savings" tab</t>
  </si>
  <si>
    <t xml:space="preserve">        If you'd like to see the chiller and IceBank modes of operation grahpically, check out the "IceBank Account" tab.</t>
  </si>
  <si>
    <t xml:space="preserve">        The spreadsheet automatically calculates the chiller tonnage and number of IceBank Model 1190's that are needed.</t>
  </si>
  <si>
    <t xml:space="preserve">Assumes 42F Supply temp; </t>
  </si>
  <si>
    <t>Takes average of ton-hrs from 50F and 60F Return temp performance curves</t>
  </si>
  <si>
    <t>College</t>
  </si>
  <si>
    <t>24-hour weekday load by building type</t>
  </si>
  <si>
    <t>Manual</t>
  </si>
  <si>
    <t>High School</t>
  </si>
  <si>
    <t>Calculated</t>
  </si>
  <si>
    <t>GSLD2 Pricing:</t>
  </si>
  <si>
    <t>June-September</t>
  </si>
  <si>
    <t xml:space="preserve">   On-Peak Demand</t>
  </si>
  <si>
    <t xml:space="preserve">   Usage, off-peak</t>
  </si>
  <si>
    <t>May, October</t>
  </si>
  <si>
    <t>Rest of Year (Nov-Apr)</t>
  </si>
  <si>
    <t xml:space="preserve">   On-Peak Demand (3-6p)</t>
  </si>
  <si>
    <t xml:space="preserve">   Usage, on-peak (3-6p)</t>
  </si>
  <si>
    <t xml:space="preserve">   Usage, on-peak (Noon-9p)</t>
  </si>
  <si>
    <t xml:space="preserve">   On-Peak Demand (6-10, 6-10)</t>
  </si>
  <si>
    <t xml:space="preserve">   Usage, on-peak (6-10, 6-10):</t>
  </si>
  <si>
    <t xml:space="preserve">   Usage, off-peak:</t>
  </si>
  <si>
    <t>GSLD2-STDR Pricing:</t>
  </si>
  <si>
    <t>May-October</t>
  </si>
  <si>
    <t>x 4 months</t>
  </si>
  <si>
    <t>Max On-Peak Load</t>
  </si>
  <si>
    <t>Canned Load Profiles</t>
  </si>
  <si>
    <t>Pick Peak Load:</t>
  </si>
  <si>
    <t>Site Type:</t>
  </si>
  <si>
    <t>OR, input Manual Profile Below</t>
  </si>
  <si>
    <t>Office Building</t>
  </si>
  <si>
    <t>Load Profile</t>
  </si>
  <si>
    <t>Yes</t>
  </si>
  <si>
    <t>Air-cooled</t>
  </si>
  <si>
    <t>Water-cooled</t>
  </si>
  <si>
    <t>April, May, October Calcs:</t>
  </si>
  <si>
    <t>Rate</t>
  </si>
  <si>
    <t>Conv Cost</t>
  </si>
  <si>
    <t>Ice Cost</t>
  </si>
  <si>
    <t>Total Tanks:</t>
  </si>
  <si>
    <t>GSD</t>
  </si>
  <si>
    <t>GSD-SDTR</t>
  </si>
  <si>
    <t>GSDT</t>
  </si>
  <si>
    <t>GSLD1</t>
  </si>
  <si>
    <t>GSLD1-SDTR</t>
  </si>
  <si>
    <t>GSLD2</t>
  </si>
  <si>
    <t>GSLD2-SDTR</t>
  </si>
  <si>
    <t>GSLDT1</t>
  </si>
  <si>
    <t>GSLDT2</t>
  </si>
  <si>
    <t>↓↓↓↓</t>
  </si>
  <si>
    <t>Conventional Chiller (existing rate)</t>
  </si>
  <si>
    <t>Ice-Based Chiller Plant (new/optimized rate)</t>
  </si>
  <si>
    <t>FPL All Rates</t>
  </si>
  <si>
    <t>GSLD2 - Operating Savings Analysis with Ice</t>
  </si>
  <si>
    <t>Florida Power &amp; Light - GSD</t>
  </si>
  <si>
    <t>Note: HVAC only</t>
  </si>
  <si>
    <t>30-day month</t>
  </si>
  <si>
    <t>Cooling w/ice storage - Rest of Year</t>
  </si>
  <si>
    <t>Florida Power &amp; Light - GSLD1</t>
  </si>
  <si>
    <t>Florida Power &amp; Light - GSLD2 (2,000kW or more)</t>
  </si>
  <si>
    <t>Florida Power &amp; Light - GSDT with conventional versus ice</t>
  </si>
  <si>
    <t>20-500kW</t>
  </si>
  <si>
    <t>GSDT Pricing:</t>
  </si>
  <si>
    <t>Demand</t>
  </si>
  <si>
    <t>Usage, on-peak</t>
  </si>
  <si>
    <t>Usage, off-peak</t>
  </si>
  <si>
    <t xml:space="preserve">April-October </t>
  </si>
  <si>
    <t>April-October</t>
  </si>
  <si>
    <t>Conventional Cooling, Apr-October</t>
  </si>
  <si>
    <t>x 7 months</t>
  </si>
  <si>
    <t>Average Load, weekday</t>
  </si>
  <si>
    <t>Rest of Year (Nov-March)</t>
  </si>
  <si>
    <t xml:space="preserve">  On-Peak monthly kWh:</t>
  </si>
  <si>
    <t>Noon-9p wkdays</t>
  </si>
  <si>
    <t xml:space="preserve">  Off-Peak monthly kWh:</t>
  </si>
  <si>
    <t>Cooling w/ice storage - April-October</t>
  </si>
  <si>
    <t>6-10, 6-10  wkdays</t>
  </si>
  <si>
    <t>&lt;--how to do this 6-10am/pm? My preference is not to do supplemental calcs; would prefer to do a second (even third) "IceBank Account"-style tab</t>
  </si>
  <si>
    <t>GSLDT-1</t>
  </si>
  <si>
    <t>Florida Power &amp; Light - GSLDT-1 with conventional versus ice</t>
  </si>
  <si>
    <t>500-2000kW</t>
  </si>
  <si>
    <t>GSLDT-2</t>
  </si>
  <si>
    <t>Florida Power &amp; Light - GSLDT-2 with conventional versus ice</t>
  </si>
  <si>
    <t>2000kW+</t>
  </si>
  <si>
    <t>Florida Power &amp; Light - GSD-SDTR with conventional versus ice</t>
  </si>
  <si>
    <t>April, May, October</t>
  </si>
  <si>
    <t>x 3 months</t>
  </si>
  <si>
    <t>3-6pm weekdays</t>
  </si>
  <si>
    <t>6-10 am &amp; pm wkdys</t>
  </si>
  <si>
    <t>Florida Power &amp; Light - GSLD1-SDTR with conventional versus ice</t>
  </si>
  <si>
    <t>GSLD1-STDR Pricing:</t>
  </si>
  <si>
    <t>Florida Power &amp; Light - GSLD2-SDTR with conventional versus ice</t>
  </si>
  <si>
    <t>Air-cooled or Water-cooled chiller</t>
  </si>
  <si>
    <t>Total Chiller kW</t>
  </si>
  <si>
    <t>HE</t>
  </si>
  <si>
    <t>Prepared by Calmac, 2016</t>
  </si>
  <si>
    <t>Cooling w/ice storage - April, May, October</t>
  </si>
  <si>
    <t>Final Profile</t>
  </si>
  <si>
    <t>Commercial Office</t>
  </si>
  <si>
    <t>Middle School</t>
  </si>
  <si>
    <t>GSD - Operating Savings Analysis with Ice</t>
  </si>
  <si>
    <t>GSLD1 - Operating Savings Analysis with Ice</t>
  </si>
  <si>
    <t>Canned Load?</t>
  </si>
  <si>
    <t>Size of Ice Chiller - Calculated, or Peak Load?</t>
  </si>
  <si>
    <t xml:space="preserve">   Input size of chiller plant:</t>
  </si>
  <si>
    <t>Input</t>
  </si>
  <si>
    <t>&lt;--Leave blank if using calculated</t>
  </si>
  <si>
    <t>Chiller Tonnage</t>
  </si>
  <si>
    <t>Baseload Chiller 1 Cooling</t>
  </si>
  <si>
    <t>Baseload Chiller 2 Cooling</t>
  </si>
  <si>
    <t>Total Tonnage</t>
  </si>
  <si>
    <t>Ice Charging (1 &amp; 2)</t>
  </si>
  <si>
    <t>Total Chiller Operations on Design Day</t>
  </si>
  <si>
    <t>Totals:</t>
  </si>
  <si>
    <t>Total Chiller Operations - April/May/October, 9-hour peak discharge</t>
  </si>
  <si>
    <t>Diversity, Noon-9</t>
  </si>
  <si>
    <t>Effective hrs:</t>
  </si>
  <si>
    <t xml:space="preserve">Peak Hour Load Calcs </t>
  </si>
  <si>
    <t>Peak Load Ton-hrs</t>
  </si>
  <si>
    <t>Net Ton-hrs:</t>
  </si>
  <si>
    <t>Total Load</t>
  </si>
  <si>
    <t>Chiller Demand Limit:</t>
  </si>
  <si>
    <t>IceBank Discharge</t>
  </si>
  <si>
    <t>Chiller Demand Limit</t>
  </si>
  <si>
    <t>Available BL Chiller</t>
  </si>
  <si>
    <t>Baseload Cooling</t>
  </si>
  <si>
    <t>Dual-Duty Cooling</t>
  </si>
  <si>
    <t>BL Demand Limit:</t>
  </si>
  <si>
    <t>DD Demand Limit:</t>
  </si>
  <si>
    <t>Peak Demand:</t>
  </si>
  <si>
    <t>Total ice ton-hrs:</t>
  </si>
  <si>
    <r>
      <rPr>
        <i/>
        <sz val="11"/>
        <color theme="1"/>
        <rFont val="Calibri"/>
        <family val="2"/>
        <scheme val="minor"/>
      </rPr>
      <t xml:space="preserve">Note: </t>
    </r>
    <r>
      <rPr>
        <sz val="11"/>
        <color theme="1"/>
        <rFont val="Calibri"/>
        <family val="2"/>
        <scheme val="minor"/>
      </rPr>
      <t xml:space="preserve">Based on experience, we are "zeroing out" Demand in the Winter months. </t>
    </r>
  </si>
  <si>
    <t>Terminal F</t>
  </si>
  <si>
    <t>Miami, FL</t>
  </si>
  <si>
    <t>April, 2016</t>
  </si>
  <si>
    <t>July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</si>
</sst>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5">
    <numFmt numFmtId="6" formatCode="&quot;$&quot;#,##0_);[Red]\(&quot;$&quot;#,##0\)"/>
    <numFmt numFmtId="8" formatCode="&quot;$&quot;#,##0.00_);[Red]\(&quot;$&quot;#,##0.00\)"/>
    <numFmt numFmtId="44" formatCode="_(&quot;$&quot;* #,##0.00_);_(&quot;$&quot;* \(#,##0.00\);_(&quot;$&quot;* &quot;-&quot;??_);_(@_)"/>
    <numFmt numFmtId="164" formatCode="0.0%"/>
    <numFmt numFmtId="165" formatCode="[$-F800]dddd\,\ mmmm\ dd\,\ yyyy"/>
    <numFmt numFmtId="166" formatCode="0&quot; tons&quot;"/>
    <numFmt numFmtId="167" formatCode="&quot;$&quot;#,##0"/>
    <numFmt numFmtId="168" formatCode="#,##0.00&quot; kW/ton&quot;"/>
    <numFmt numFmtId="169" formatCode="&quot;$&quot;#,##0&quot;/ton&quot;"/>
    <numFmt numFmtId="170" formatCode="&quot;$&quot;#,##0&quot;/tank&quot;"/>
    <numFmt numFmtId="171" formatCode="#,##0.00&quot; years&quot;"/>
    <numFmt numFmtId="172" formatCode="&quot;$&quot;#,##0.00&quot;/kW&quot;"/>
    <numFmt numFmtId="173" formatCode="&quot;$&quot;#,##0.00"/>
    <numFmt numFmtId="174" formatCode="0.0&quot; tons&quot;"/>
    <numFmt numFmtId="175" formatCode="0.0&quot; kW&quot;"/>
    <numFmt numFmtId="176" formatCode="#,##0&quot; kWh&quot;"/>
    <numFmt numFmtId="177" formatCode="#,##0&quot; tons&quot;"/>
    <numFmt numFmtId="178" formatCode="&quot;$&quot;0.000&quot;/kWh&quot;"/>
    <numFmt numFmtId="179" formatCode="0.0\ &quot;kW&quot;"/>
    <numFmt numFmtId="180" formatCode="&quot;$&quot;0.00&quot;/kW&quot;"/>
    <numFmt numFmtId="181" formatCode="0\ &quot;kW&quot;"/>
    <numFmt numFmtId="182" formatCode="#,##0&quot; kW&quot;"/>
    <numFmt numFmtId="183" formatCode="#,##0&quot; ton-hrs&quot;"/>
    <numFmt numFmtId="184" formatCode="0.0"/>
    <numFmt numFmtId="185" formatCode="#,##0.0&quot; kW&quot;"/>
  </numFmts>
  <fonts count="50">
    <font>
      <sz val="11"/>
      <color theme="1"/>
      <name val="Calibri"/>
      <family val="2"/>
      <scheme val="minor"/>
    </font>
    <font>
      <sz val="10"/>
      <color theme="1"/>
      <name val="Arial"/>
      <family val="2"/>
    </font>
    <font>
      <b/>
      <sz val="11"/>
      <color theme="1"/>
      <name val="Calibri"/>
      <family val="2"/>
      <scheme val="minor"/>
    </font>
    <font>
      <sz val="11"/>
      <color theme="1"/>
      <name val="Calibri"/>
      <family val="2"/>
      <scheme val="minor"/>
    </font>
    <font>
      <sz val="10"/>
      <color rgb="FF3F3F76"/>
      <name val="Arial"/>
      <family val="2"/>
    </font>
    <font>
      <i/>
      <sz val="10"/>
      <color rgb="FF7F7F7F"/>
      <name val="Arial"/>
      <family val="2"/>
    </font>
    <font>
      <sz val="10"/>
      <color theme="0"/>
      <name val="Arial"/>
      <family val="2"/>
    </font>
    <font>
      <sz val="18"/>
      <color theme="0"/>
      <name val="Aachen Std Bold"/>
      <family val="1"/>
    </font>
    <font>
      <sz val="18"/>
      <color theme="0"/>
      <name val="Arial"/>
      <family val="2"/>
    </font>
    <font>
      <sz val="10"/>
      <name val="Arial"/>
      <family val="2"/>
    </font>
    <font>
      <sz val="11"/>
      <color theme="1"/>
      <name val="Arial"/>
      <family val="2"/>
    </font>
    <font>
      <sz val="11"/>
      <name val="Calibri"/>
      <family val="2"/>
      <scheme val="minor"/>
    </font>
    <font>
      <sz val="11"/>
      <color theme="0"/>
      <name val="Calibri"/>
      <family val="2"/>
      <scheme val="minor"/>
    </font>
    <font>
      <b/>
      <sz val="11"/>
      <name val="Calibri"/>
      <family val="2"/>
      <scheme val="minor"/>
    </font>
    <font>
      <sz val="18"/>
      <color theme="0"/>
      <name val="Calibri"/>
      <family val="2"/>
      <scheme val="minor"/>
    </font>
    <font>
      <b/>
      <sz val="11"/>
      <color theme="0"/>
      <name val="Calibri"/>
      <family val="2"/>
      <scheme val="minor"/>
    </font>
    <font>
      <sz val="24"/>
      <color theme="0"/>
      <name val="Calibri"/>
      <family val="2"/>
      <scheme val="minor"/>
    </font>
    <font>
      <sz val="24"/>
      <color theme="1"/>
      <name val="Calibri"/>
      <family val="2"/>
      <scheme val="minor"/>
    </font>
    <font>
      <sz val="36"/>
      <color theme="0"/>
      <name val="Calibri"/>
      <family val="2"/>
      <scheme val="minor"/>
    </font>
    <font>
      <sz val="9"/>
      <color indexed="81"/>
      <name val="Tahoma"/>
      <family val="2"/>
    </font>
    <font>
      <b/>
      <sz val="11"/>
      <color rgb="FFFF0000"/>
      <name val="Calibri"/>
      <family val="2"/>
      <scheme val="minor"/>
    </font>
    <font>
      <b/>
      <sz val="14"/>
      <color theme="1"/>
      <name val="Arial"/>
      <family val="2"/>
    </font>
    <font>
      <b/>
      <sz val="14"/>
      <name val="Arial"/>
      <family val="2"/>
    </font>
    <font>
      <b/>
      <sz val="12"/>
      <color theme="1"/>
      <name val="Arial"/>
      <family val="2"/>
    </font>
    <font>
      <sz val="10"/>
      <color theme="1"/>
      <name val="Calibri"/>
      <family val="2"/>
      <scheme val="minor"/>
    </font>
    <font>
      <b/>
      <sz val="12"/>
      <color theme="0"/>
      <name val="Calibri"/>
      <family val="2"/>
      <scheme val="minor"/>
    </font>
    <font>
      <sz val="12"/>
      <color theme="0"/>
      <name val="Calibri"/>
      <family val="2"/>
      <scheme val="minor"/>
    </font>
    <font>
      <sz val="28"/>
      <color rgb="FF00B0F0"/>
      <name val="Aachen Std Bold"/>
      <family val="1"/>
    </font>
    <font>
      <sz val="28"/>
      <color rgb="FFFF0000"/>
      <name val="Aachen Std Bold"/>
      <family val="1"/>
    </font>
    <font>
      <sz val="28"/>
      <color rgb="FFFFFF00"/>
      <name val="Aachen Std Bold"/>
      <family val="1"/>
    </font>
    <font>
      <sz val="28"/>
      <color rgb="FF00B050"/>
      <name val="Aachen Std Bold"/>
      <family val="1"/>
    </font>
    <font>
      <sz val="28"/>
      <color theme="0"/>
      <name val="Calibri"/>
      <family val="2"/>
      <scheme val="minor"/>
    </font>
    <font>
      <u/>
      <sz val="8.8000000000000007"/>
      <color theme="10"/>
      <name val="Calibri"/>
      <family val="2"/>
    </font>
    <font>
      <b/>
      <sz val="12"/>
      <name val="Calibri"/>
      <family val="2"/>
      <scheme val="minor"/>
    </font>
    <font>
      <b/>
      <sz val="12"/>
      <color theme="1"/>
      <name val="Calibri"/>
      <family val="2"/>
      <scheme val="minor"/>
    </font>
    <font>
      <sz val="10"/>
      <color indexed="81"/>
      <name val="Tahoma"/>
      <family val="2"/>
    </font>
    <font>
      <b/>
      <u/>
      <sz val="11"/>
      <color theme="1"/>
      <name val="Calibri"/>
      <family val="2"/>
      <scheme val="minor"/>
    </font>
    <font>
      <b/>
      <i/>
      <sz val="11"/>
      <color theme="1"/>
      <name val="Calibri"/>
      <family val="2"/>
      <scheme val="minor"/>
    </font>
    <font>
      <b/>
      <i/>
      <u/>
      <sz val="11"/>
      <color theme="1"/>
      <name val="Calibri"/>
      <family val="2"/>
      <scheme val="minor"/>
    </font>
    <font>
      <i/>
      <sz val="11"/>
      <color theme="1"/>
      <name val="Calibri"/>
      <family val="2"/>
      <scheme val="minor"/>
    </font>
    <font>
      <b/>
      <i/>
      <u/>
      <sz val="12"/>
      <color theme="1"/>
      <name val="Calibri"/>
      <family val="2"/>
      <scheme val="minor"/>
    </font>
    <font>
      <b/>
      <i/>
      <sz val="10"/>
      <color theme="1"/>
      <name val="Calibri"/>
      <family val="2"/>
      <scheme val="minor"/>
    </font>
    <font>
      <i/>
      <u/>
      <sz val="11"/>
      <color theme="1"/>
      <name val="Calibri"/>
      <family val="2"/>
      <scheme val="minor"/>
    </font>
    <font>
      <i/>
      <sz val="10"/>
      <color theme="1"/>
      <name val="Calibri"/>
      <family val="2"/>
      <scheme val="minor"/>
    </font>
    <font>
      <b/>
      <u/>
      <sz val="12"/>
      <color theme="1"/>
      <name val="Calibri"/>
      <family val="2"/>
      <scheme val="minor"/>
    </font>
    <font>
      <sz val="12"/>
      <color theme="1"/>
      <name val="Calibri"/>
      <family val="2"/>
      <scheme val="minor"/>
    </font>
    <font>
      <b/>
      <sz val="16"/>
      <color theme="1"/>
      <name val="Calibri"/>
      <family val="2"/>
      <scheme val="minor"/>
    </font>
    <font>
      <u/>
      <sz val="11"/>
      <color theme="1"/>
      <name val="Calibri"/>
      <family val="2"/>
      <scheme val="minor"/>
    </font>
    <font>
      <sz val="11"/>
      <color theme="1"/>
      <name val="Calibri"/>
      <family val="2"/>
    </font>
    <font>
      <b/>
      <sz val="14"/>
      <color theme="1"/>
      <name val="Calibri"/>
      <family val="2"/>
      <scheme val="minor"/>
    </font>
  </fonts>
  <fills count="40">
    <fill>
      <patternFill patternType="none"/>
    </fill>
    <fill>
      <patternFill patternType="gray125"/>
    </fill>
    <fill>
      <patternFill patternType="solid">
        <fgColor rgb="FFFFCC99"/>
      </patternFill>
    </fill>
    <fill>
      <patternFill patternType="solid">
        <fgColor rgb="FFFFFFCC"/>
      </patternFill>
    </fill>
    <fill>
      <patternFill patternType="solid">
        <fgColor theme="4"/>
      </patternFill>
    </fill>
    <fill>
      <patternFill patternType="solid">
        <fgColor theme="4" tint="0.39997558519241921"/>
        <bgColor indexed="65"/>
      </patternFill>
    </fill>
    <fill>
      <patternFill patternType="solid">
        <fgColor rgb="FFFFFF00"/>
        <bgColor indexed="64"/>
      </patternFill>
    </fill>
    <fill>
      <patternFill patternType="solid">
        <fgColor rgb="FFC00000"/>
        <bgColor indexed="64"/>
      </patternFill>
    </fill>
    <fill>
      <patternFill patternType="solid">
        <fgColor rgb="FF00B0F0"/>
        <bgColor indexed="64"/>
      </patternFill>
    </fill>
    <fill>
      <patternFill patternType="solid">
        <fgColor rgb="FFFFC000"/>
        <bgColor indexed="64"/>
      </patternFill>
    </fill>
    <fill>
      <patternFill patternType="solid">
        <fgColor rgb="FFFFFF99"/>
        <bgColor indexed="64"/>
      </patternFill>
    </fill>
    <fill>
      <gradientFill degree="90">
        <stop position="0">
          <color theme="1"/>
        </stop>
        <stop position="1">
          <color theme="4"/>
        </stop>
      </gradientFill>
    </fill>
    <fill>
      <gradientFill degree="270">
        <stop position="0">
          <color theme="1"/>
        </stop>
        <stop position="1">
          <color theme="4"/>
        </stop>
      </gradientFill>
    </fill>
    <fill>
      <patternFill patternType="solid">
        <fgColor theme="6" tint="0.59996337778862885"/>
        <bgColor indexed="64"/>
      </patternFill>
    </fill>
    <fill>
      <patternFill patternType="solid">
        <fgColor theme="6" tint="0.39994506668294322"/>
        <bgColor indexed="64"/>
      </patternFill>
    </fill>
    <fill>
      <patternFill patternType="solid">
        <fgColor theme="8" tint="-0.249977111117893"/>
        <bgColor indexed="64"/>
      </patternFill>
    </fill>
    <fill>
      <gradientFill degree="90">
        <stop position="0">
          <color theme="9"/>
        </stop>
        <stop position="0.5">
          <color rgb="FFFABA86"/>
        </stop>
        <stop position="1">
          <color theme="9"/>
        </stop>
      </gradientFill>
    </fill>
    <fill>
      <gradientFill degree="90">
        <stop position="0">
          <color rgb="FFFF0000"/>
        </stop>
        <stop position="0.5">
          <color rgb="FFFF9797"/>
        </stop>
        <stop position="1">
          <color rgb="FFFF0000"/>
        </stop>
      </gradientFill>
    </fill>
    <fill>
      <gradientFill degree="90">
        <stop position="0">
          <color rgb="FF7030A0"/>
        </stop>
        <stop position="0.5">
          <color rgb="FFC39BE1"/>
        </stop>
        <stop position="1">
          <color rgb="FF7030A0"/>
        </stop>
      </gradientFill>
    </fill>
    <fill>
      <gradientFill degree="90">
        <stop position="0">
          <color rgb="FF00B0F0"/>
        </stop>
        <stop position="0.5">
          <color rgb="FF79DCFF"/>
        </stop>
        <stop position="1">
          <color rgb="FF00B0F0"/>
        </stop>
      </gradientFill>
    </fill>
    <fill>
      <gradientFill degree="90">
        <stop position="0">
          <color theme="4" tint="0.40000610370189521"/>
        </stop>
        <stop position="0.5">
          <color rgb="FFD2DFEE"/>
        </stop>
        <stop position="1">
          <color theme="4" tint="0.40000610370189521"/>
        </stop>
      </gradientFill>
    </fill>
    <fill>
      <gradientFill degree="90">
        <stop position="0">
          <color rgb="FFF6862A"/>
        </stop>
        <stop position="0.5">
          <color rgb="FFFFCC81"/>
        </stop>
        <stop position="1">
          <color rgb="FFF6862A"/>
        </stop>
      </gradientFill>
    </fill>
    <fill>
      <gradientFill degree="90">
        <stop position="0">
          <color rgb="FFFF0000"/>
        </stop>
        <stop position="0.5">
          <color rgb="FFFF8585"/>
        </stop>
        <stop position="1">
          <color rgb="FFFF0000"/>
        </stop>
      </gradientFill>
    </fill>
    <fill>
      <gradientFill degree="90">
        <stop position="0">
          <color theme="7" tint="-0.25098422193060094"/>
        </stop>
        <stop position="0.5">
          <color rgb="FFC0B2D2"/>
        </stop>
        <stop position="1">
          <color theme="7" tint="-0.25098422193060094"/>
        </stop>
      </gradientFill>
    </fill>
    <fill>
      <gradientFill degree="270">
        <stop position="0">
          <color rgb="FF53B9D5"/>
        </stop>
        <stop position="1">
          <color rgb="FF2787A0"/>
        </stop>
      </gradientFill>
    </fill>
    <fill>
      <gradientFill degree="90">
        <stop position="0">
          <color rgb="FF769235"/>
        </stop>
        <stop position="0.5">
          <color rgb="FFA7C864"/>
        </stop>
        <stop position="1">
          <color rgb="FF769235"/>
        </stop>
      </gradientFill>
    </fill>
    <fill>
      <gradientFill degree="90">
        <stop position="0">
          <color rgb="FF769535"/>
        </stop>
        <stop position="0.5">
          <color rgb="FFA3C65E"/>
        </stop>
        <stop position="1">
          <color rgb="FF769535"/>
        </stop>
      </gradientFill>
    </fill>
    <fill>
      <gradientFill degree="90">
        <stop position="0">
          <color theme="7" tint="-0.25098422193060094"/>
        </stop>
        <stop position="0.5">
          <color theme="7" tint="0.40000610370189521"/>
        </stop>
        <stop position="1">
          <color theme="7" tint="-0.25098422193060094"/>
        </stop>
      </gradientFill>
    </fill>
    <fill>
      <gradientFill degree="90">
        <stop position="0">
          <color rgb="FF96B4D8"/>
        </stop>
        <stop position="0.5">
          <color rgb="FFDCE6F2"/>
        </stop>
        <stop position="1">
          <color rgb="FF96B4D8"/>
        </stop>
      </gradientFill>
    </fill>
    <fill>
      <patternFill patternType="solid">
        <fgColor theme="4" tint="0.59996337778862885"/>
        <bgColor indexed="64"/>
      </patternFill>
    </fill>
    <fill>
      <patternFill patternType="solid">
        <fgColor theme="5" tint="0.59996337778862885"/>
        <bgColor indexed="64"/>
      </patternFill>
    </fill>
    <fill>
      <gradientFill degree="270">
        <stop position="0">
          <color theme="1"/>
        </stop>
        <stop position="1">
          <color theme="3" tint="0.40000610370189521"/>
        </stop>
      </gradientFill>
    </fill>
    <fill>
      <patternFill patternType="solid">
        <fgColor theme="6" tint="0.79998168889431442"/>
        <bgColor indexed="64"/>
      </patternFill>
    </fill>
    <fill>
      <patternFill patternType="solid">
        <fgColor theme="9" tint="0.79998168889431442"/>
        <bgColor indexed="64"/>
      </patternFill>
    </fill>
    <fill>
      <gradientFill degree="90">
        <stop position="0">
          <color rgb="FF00B0F0"/>
        </stop>
        <stop position="0.5">
          <color rgb="FF79DDFF"/>
        </stop>
        <stop position="1">
          <color rgb="FF00B0F0"/>
        </stop>
      </gradientFill>
    </fill>
    <fill>
      <patternFill patternType="solid">
        <fgColor theme="4" tint="0.59999389629810485"/>
        <bgColor indexed="65"/>
      </patternFill>
    </fill>
    <fill>
      <patternFill patternType="solid">
        <fgColor theme="8"/>
      </patternFill>
    </fill>
    <fill>
      <patternFill patternType="solid">
        <fgColor theme="9" tint="0.59999389629810485"/>
        <bgColor indexed="64"/>
      </patternFill>
    </fill>
    <fill>
      <patternFill patternType="solid">
        <fgColor theme="3" tint="0.79998168889431442"/>
        <bgColor indexed="64"/>
      </patternFill>
    </fill>
    <fill>
      <patternFill patternType="solid">
        <fgColor theme="4" tint="0.59999389629810485"/>
        <bgColor indexed="64"/>
      </patternFill>
    </fill>
  </fills>
  <borders count="165">
    <border>
      <left/>
      <right/>
      <top/>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auto="1"/>
      </left>
      <right/>
      <top style="medium">
        <color auto="1"/>
      </top>
      <bottom style="medium">
        <color auto="1"/>
      </bottom>
      <diagonal/>
    </border>
    <border>
      <left style="thin">
        <color auto="1"/>
      </left>
      <right/>
      <top style="thin">
        <color auto="1"/>
      </top>
      <bottom style="medium">
        <color auto="1"/>
      </bottom>
      <diagonal/>
    </border>
    <border>
      <left style="thin">
        <color auto="1"/>
      </left>
      <right style="medium">
        <color rgb="FFFF0000"/>
      </right>
      <top style="thin">
        <color auto="1"/>
      </top>
      <bottom style="thin">
        <color auto="1"/>
      </bottom>
      <diagonal/>
    </border>
    <border>
      <left style="thick">
        <color theme="3" tint="-0.24994659260841701"/>
      </left>
      <right style="thin">
        <color theme="3" tint="-0.24994659260841701"/>
      </right>
      <top style="thick">
        <color theme="3" tint="-0.24994659260841701"/>
      </top>
      <bottom style="thin">
        <color theme="3" tint="-0.24994659260841701"/>
      </bottom>
      <diagonal/>
    </border>
    <border>
      <left style="thin">
        <color theme="3" tint="-0.24994659260841701"/>
      </left>
      <right style="thick">
        <color theme="3" tint="-0.24994659260841701"/>
      </right>
      <top style="thick">
        <color theme="3" tint="-0.24994659260841701"/>
      </top>
      <bottom style="thin">
        <color theme="3" tint="-0.24994659260841701"/>
      </bottom>
      <diagonal/>
    </border>
    <border>
      <left style="thick">
        <color theme="3" tint="-0.24994659260841701"/>
      </left>
      <right style="thin">
        <color theme="3" tint="-0.24994659260841701"/>
      </right>
      <top style="thin">
        <color theme="3" tint="-0.24994659260841701"/>
      </top>
      <bottom style="thin">
        <color theme="3" tint="-0.24994659260841701"/>
      </bottom>
      <diagonal/>
    </border>
    <border>
      <left style="thin">
        <color theme="3" tint="-0.24994659260841701"/>
      </left>
      <right style="thick">
        <color theme="3" tint="-0.24994659260841701"/>
      </right>
      <top style="thin">
        <color theme="3" tint="-0.24994659260841701"/>
      </top>
      <bottom style="thin">
        <color theme="3" tint="-0.24994659260841701"/>
      </bottom>
      <diagonal/>
    </border>
    <border>
      <left style="thin">
        <color theme="3" tint="-0.24994659260841701"/>
      </left>
      <right style="thick">
        <color theme="3" tint="-0.24994659260841701"/>
      </right>
      <top style="thin">
        <color theme="3" tint="-0.24994659260841701"/>
      </top>
      <bottom style="thick">
        <color theme="3" tint="-0.24994659260841701"/>
      </bottom>
      <diagonal/>
    </border>
    <border>
      <left style="thick">
        <color theme="3" tint="-0.24994659260841701"/>
      </left>
      <right/>
      <top style="thick">
        <color theme="3" tint="-0.24994659260841701"/>
      </top>
      <bottom/>
      <diagonal/>
    </border>
    <border>
      <left/>
      <right style="thick">
        <color theme="3" tint="-0.24994659260841701"/>
      </right>
      <top style="thick">
        <color theme="3" tint="-0.24994659260841701"/>
      </top>
      <bottom/>
      <diagonal/>
    </border>
    <border>
      <left style="thick">
        <color theme="3" tint="-0.24994659260841701"/>
      </left>
      <right/>
      <top/>
      <bottom/>
      <diagonal/>
    </border>
    <border>
      <left/>
      <right style="thick">
        <color theme="3" tint="-0.24994659260841701"/>
      </right>
      <top/>
      <bottom/>
      <diagonal/>
    </border>
    <border>
      <left style="thick">
        <color rgb="FFFF0000"/>
      </left>
      <right style="thick">
        <color theme="3" tint="-0.24994659260841701"/>
      </right>
      <top style="thick">
        <color rgb="FFFF0000"/>
      </top>
      <bottom style="thick">
        <color rgb="FFFF0000"/>
      </bottom>
      <diagonal/>
    </border>
    <border>
      <left style="thick">
        <color theme="3" tint="-0.24994659260841701"/>
      </left>
      <right/>
      <top/>
      <bottom style="thick">
        <color theme="3" tint="-0.24994659260841701"/>
      </bottom>
      <diagonal/>
    </border>
    <border>
      <left style="thick">
        <color rgb="FFFF0000"/>
      </left>
      <right style="thick">
        <color theme="3" tint="-0.24994659260841701"/>
      </right>
      <top style="thick">
        <color rgb="FFFF0000"/>
      </top>
      <bottom style="thick">
        <color theme="3" tint="-0.24994659260841701"/>
      </bottom>
      <diagonal/>
    </border>
    <border>
      <left/>
      <right/>
      <top/>
      <bottom style="medium">
        <color indexed="64"/>
      </bottom>
      <diagonal/>
    </border>
    <border>
      <left/>
      <right/>
      <top style="thick">
        <color theme="4" tint="-0.249977111117893"/>
      </top>
      <bottom/>
      <diagonal/>
    </border>
    <border>
      <left/>
      <right style="thick">
        <color theme="4" tint="-0.249977111117893"/>
      </right>
      <top style="thick">
        <color theme="4" tint="-0.249977111117893"/>
      </top>
      <bottom/>
      <diagonal/>
    </border>
    <border>
      <left/>
      <right/>
      <top/>
      <bottom style="thick">
        <color theme="4" tint="-0.249977111117893"/>
      </bottom>
      <diagonal/>
    </border>
    <border>
      <left/>
      <right style="thick">
        <color theme="4" tint="-0.249977111117893"/>
      </right>
      <top/>
      <bottom style="thick">
        <color theme="4" tint="-0.249977111117893"/>
      </bottom>
      <diagonal/>
    </border>
    <border>
      <left/>
      <right style="thick">
        <color theme="4" tint="-0.249977111117893"/>
      </right>
      <top/>
      <bottom/>
      <diagonal/>
    </border>
    <border>
      <left style="thin">
        <color auto="1"/>
      </left>
      <right style="medium">
        <color rgb="FFFF0000"/>
      </right>
      <top/>
      <bottom style="thin">
        <color auto="1"/>
      </bottom>
      <diagonal/>
    </border>
    <border>
      <left style="thin">
        <color theme="3"/>
      </left>
      <right style="thin">
        <color theme="3"/>
      </right>
      <top style="thick">
        <color theme="3"/>
      </top>
      <bottom style="thick">
        <color theme="3"/>
      </bottom>
      <diagonal/>
    </border>
    <border>
      <left style="thick">
        <color theme="4" tint="-0.249977111117893"/>
      </left>
      <right/>
      <top style="thick">
        <color theme="4" tint="-0.249977111117893"/>
      </top>
      <bottom/>
      <diagonal/>
    </border>
    <border>
      <left style="thick">
        <color theme="4" tint="-0.249977111117893"/>
      </left>
      <right/>
      <top/>
      <bottom style="thick">
        <color theme="4" tint="-0.249977111117893"/>
      </bottom>
      <diagonal/>
    </border>
    <border>
      <left style="thick">
        <color theme="4" tint="-0.249977111117893"/>
      </left>
      <right/>
      <top/>
      <bottom/>
      <diagonal/>
    </border>
    <border>
      <left style="thick">
        <color theme="4" tint="-0.249977111117893"/>
      </left>
      <right style="thin">
        <color theme="3"/>
      </right>
      <top style="thick">
        <color theme="3"/>
      </top>
      <bottom style="thick">
        <color theme="3"/>
      </bottom>
      <diagonal/>
    </border>
    <border>
      <left style="thick">
        <color theme="4" tint="-0.249977111117893"/>
      </left>
      <right style="thin">
        <color auto="1"/>
      </right>
      <top/>
      <bottom style="thin">
        <color auto="1"/>
      </bottom>
      <diagonal/>
    </border>
    <border>
      <left style="thick">
        <color theme="4" tint="-0.249977111117893"/>
      </left>
      <right style="thin">
        <color auto="1"/>
      </right>
      <top style="thin">
        <color auto="1"/>
      </top>
      <bottom style="thin">
        <color auto="1"/>
      </bottom>
      <diagonal/>
    </border>
    <border>
      <left/>
      <right/>
      <top/>
      <bottom style="thick">
        <color theme="3"/>
      </bottom>
      <diagonal/>
    </border>
    <border>
      <left style="thick">
        <color theme="4" tint="-0.249977111117893"/>
      </left>
      <right style="thin">
        <color auto="1"/>
      </right>
      <top style="thin">
        <color auto="1"/>
      </top>
      <bottom style="thick">
        <color theme="4" tint="-0.249977111117893"/>
      </bottom>
      <diagonal/>
    </border>
    <border>
      <left style="thin">
        <color auto="1"/>
      </left>
      <right style="medium">
        <color rgb="FFFF0000"/>
      </right>
      <top style="thin">
        <color auto="1"/>
      </top>
      <bottom style="thick">
        <color theme="4" tint="-0.249977111117893"/>
      </bottom>
      <diagonal/>
    </border>
    <border>
      <left style="thin">
        <color auto="1"/>
      </left>
      <right/>
      <top style="thin">
        <color auto="1"/>
      </top>
      <bottom style="thick">
        <color theme="4" tint="-0.249977111117893"/>
      </bottom>
      <diagonal/>
    </border>
    <border>
      <left style="thin">
        <color auto="1"/>
      </left>
      <right style="thin">
        <color auto="1"/>
      </right>
      <top style="thin">
        <color auto="1"/>
      </top>
      <bottom style="thick">
        <color theme="4" tint="-0.249977111117893"/>
      </bottom>
      <diagonal/>
    </border>
    <border>
      <left/>
      <right style="thick">
        <color theme="3"/>
      </right>
      <top/>
      <bottom/>
      <diagonal/>
    </border>
    <border>
      <left style="thin">
        <color auto="1"/>
      </left>
      <right style="thin">
        <color auto="1"/>
      </right>
      <top style="thick">
        <color theme="3"/>
      </top>
      <bottom style="thin">
        <color auto="1"/>
      </bottom>
      <diagonal/>
    </border>
    <border>
      <left style="thin">
        <color auto="1"/>
      </left>
      <right/>
      <top style="thick">
        <color theme="3"/>
      </top>
      <bottom style="thin">
        <color auto="1"/>
      </bottom>
      <diagonal/>
    </border>
    <border>
      <left style="thin">
        <color auto="1"/>
      </left>
      <right style="thick">
        <color theme="3"/>
      </right>
      <top style="thick">
        <color theme="3"/>
      </top>
      <bottom style="thin">
        <color auto="1"/>
      </bottom>
      <diagonal/>
    </border>
    <border>
      <left style="thin">
        <color auto="1"/>
      </left>
      <right style="thick">
        <color theme="3"/>
      </right>
      <top style="thin">
        <color auto="1"/>
      </top>
      <bottom style="thin">
        <color auto="1"/>
      </bottom>
      <diagonal/>
    </border>
    <border>
      <left style="thin">
        <color auto="1"/>
      </left>
      <right style="thick">
        <color theme="3"/>
      </right>
      <top style="thin">
        <color auto="1"/>
      </top>
      <bottom style="thick">
        <color theme="4" tint="-0.249977111117893"/>
      </bottom>
      <diagonal/>
    </border>
    <border>
      <left style="thick">
        <color theme="3"/>
      </left>
      <right style="thin">
        <color auto="1"/>
      </right>
      <top style="thick">
        <color theme="3"/>
      </top>
      <bottom style="thin">
        <color auto="1"/>
      </bottom>
      <diagonal/>
    </border>
    <border>
      <left style="thick">
        <color theme="3"/>
      </left>
      <right style="thin">
        <color auto="1"/>
      </right>
      <top style="thin">
        <color auto="1"/>
      </top>
      <bottom style="thin">
        <color auto="1"/>
      </bottom>
      <diagonal/>
    </border>
    <border>
      <left style="thick">
        <color theme="3"/>
      </left>
      <right style="thin">
        <color auto="1"/>
      </right>
      <top style="thin">
        <color auto="1"/>
      </top>
      <bottom style="thick">
        <color theme="4" tint="-0.249977111117893"/>
      </bottom>
      <diagonal/>
    </border>
    <border>
      <left/>
      <right/>
      <top/>
      <bottom style="thin">
        <color auto="1"/>
      </bottom>
      <diagonal/>
    </border>
    <border>
      <left/>
      <right/>
      <top style="thin">
        <color auto="1"/>
      </top>
      <bottom style="thin">
        <color auto="1"/>
      </bottom>
      <diagonal/>
    </border>
    <border>
      <left/>
      <right/>
      <top style="thin">
        <color auto="1"/>
      </top>
      <bottom style="thick">
        <color theme="4" tint="-0.249977111117893"/>
      </bottom>
      <diagonal/>
    </border>
    <border>
      <left style="medium">
        <color theme="3"/>
      </left>
      <right style="medium">
        <color theme="3"/>
      </right>
      <top style="medium">
        <color theme="3"/>
      </top>
      <bottom style="thin">
        <color theme="3"/>
      </bottom>
      <diagonal/>
    </border>
    <border>
      <left style="medium">
        <color theme="3"/>
      </left>
      <right style="medium">
        <color theme="3"/>
      </right>
      <top style="thin">
        <color theme="3"/>
      </top>
      <bottom style="thin">
        <color theme="3"/>
      </bottom>
      <diagonal/>
    </border>
    <border>
      <left style="medium">
        <color theme="3"/>
      </left>
      <right style="medium">
        <color theme="3"/>
      </right>
      <top style="thin">
        <color theme="3"/>
      </top>
      <bottom/>
      <diagonal/>
    </border>
    <border>
      <left style="thick">
        <color theme="3"/>
      </left>
      <right/>
      <top style="thick">
        <color theme="3"/>
      </top>
      <bottom/>
      <diagonal/>
    </border>
    <border>
      <left/>
      <right/>
      <top style="thick">
        <color theme="3"/>
      </top>
      <bottom/>
      <diagonal/>
    </border>
    <border>
      <left/>
      <right style="thick">
        <color theme="3"/>
      </right>
      <top style="thick">
        <color theme="3"/>
      </top>
      <bottom/>
      <diagonal/>
    </border>
    <border>
      <left style="thick">
        <color theme="3"/>
      </left>
      <right/>
      <top/>
      <bottom/>
      <diagonal/>
    </border>
    <border>
      <left style="thick">
        <color theme="3"/>
      </left>
      <right/>
      <top/>
      <bottom style="thick">
        <color theme="3"/>
      </bottom>
      <diagonal/>
    </border>
    <border>
      <left/>
      <right style="thick">
        <color theme="3"/>
      </right>
      <top/>
      <bottom style="thick">
        <color theme="3"/>
      </bottom>
      <diagonal/>
    </border>
    <border>
      <left/>
      <right/>
      <top style="thick">
        <color theme="3" tint="-0.24994659260841701"/>
      </top>
      <bottom/>
      <diagonal/>
    </border>
    <border>
      <left/>
      <right/>
      <top/>
      <bottom style="thick">
        <color theme="3" tint="-0.24994659260841701"/>
      </bottom>
      <diagonal/>
    </border>
    <border>
      <left/>
      <right style="thick">
        <color theme="3" tint="-0.24994659260841701"/>
      </right>
      <top/>
      <bottom style="thick">
        <color theme="3" tint="-0.24994659260841701"/>
      </bottom>
      <diagonal/>
    </border>
    <border>
      <left style="thin">
        <color theme="3"/>
      </left>
      <right style="thick">
        <color theme="3"/>
      </right>
      <top style="thick">
        <color theme="3"/>
      </top>
      <bottom style="thick">
        <color theme="3"/>
      </bottom>
      <diagonal/>
    </border>
    <border>
      <left/>
      <right style="thin">
        <color theme="3"/>
      </right>
      <top style="thick">
        <color theme="3"/>
      </top>
      <bottom style="thick">
        <color theme="3"/>
      </bottom>
      <diagonal/>
    </border>
    <border>
      <left style="thick">
        <color theme="3"/>
      </left>
      <right style="thin">
        <color theme="3"/>
      </right>
      <top style="thick">
        <color theme="3"/>
      </top>
      <bottom style="thick">
        <color theme="3"/>
      </bottom>
      <diagonal/>
    </border>
    <border>
      <left style="thin">
        <color theme="3"/>
      </left>
      <right/>
      <top style="thick">
        <color theme="3"/>
      </top>
      <bottom style="thick">
        <color theme="3"/>
      </bottom>
      <diagonal/>
    </border>
    <border>
      <left style="thick">
        <color theme="3" tint="-0.24994659260841701"/>
      </left>
      <right/>
      <top style="thick">
        <color theme="3" tint="-0.24994659260841701"/>
      </top>
      <bottom style="thick">
        <color rgb="FFF6862A"/>
      </bottom>
      <diagonal/>
    </border>
    <border>
      <left/>
      <right/>
      <top style="thick">
        <color theme="3" tint="-0.24994659260841701"/>
      </top>
      <bottom style="thick">
        <color rgb="FFF6862A"/>
      </bottom>
      <diagonal/>
    </border>
    <border>
      <left/>
      <right style="thick">
        <color theme="3" tint="-0.24994659260841701"/>
      </right>
      <top style="thick">
        <color theme="3" tint="-0.24994659260841701"/>
      </top>
      <bottom style="thick">
        <color rgb="FFF6862A"/>
      </bottom>
      <diagonal/>
    </border>
    <border>
      <left style="thick">
        <color theme="3" tint="-0.24994659260841701"/>
      </left>
      <right/>
      <top style="thick">
        <color rgb="FFF6862A"/>
      </top>
      <bottom/>
      <diagonal/>
    </border>
    <border>
      <left/>
      <right/>
      <top style="thick">
        <color rgb="FFF6862A"/>
      </top>
      <bottom/>
      <diagonal/>
    </border>
    <border>
      <left/>
      <right style="thick">
        <color theme="3" tint="-0.24994659260841701"/>
      </right>
      <top style="thick">
        <color rgb="FFF6862A"/>
      </top>
      <bottom/>
      <diagonal/>
    </border>
    <border>
      <left style="thick">
        <color theme="4" tint="-0.249977111117893"/>
      </left>
      <right/>
      <top/>
      <bottom style="thick">
        <color theme="3" tint="-0.24994659260841701"/>
      </bottom>
      <diagonal/>
    </border>
    <border>
      <left/>
      <right style="thick">
        <color theme="4" tint="-0.249977111117893"/>
      </right>
      <top/>
      <bottom style="thick">
        <color theme="3" tint="-0.24994659260841701"/>
      </bottom>
      <diagonal/>
    </border>
    <border>
      <left style="thick">
        <color theme="5" tint="-0.24994659260841701"/>
      </left>
      <right/>
      <top style="thin">
        <color auto="1"/>
      </top>
      <bottom style="thick">
        <color theme="3" tint="-0.24994659260841701"/>
      </bottom>
      <diagonal/>
    </border>
    <border>
      <left style="thick">
        <color theme="5" tint="-0.24994659260841701"/>
      </left>
      <right style="thick">
        <color theme="5" tint="-0.24994659260841701"/>
      </right>
      <top style="thin">
        <color auto="1"/>
      </top>
      <bottom style="thick">
        <color theme="3" tint="-0.24994659260841701"/>
      </bottom>
      <diagonal/>
    </border>
    <border>
      <left style="thick">
        <color theme="3"/>
      </left>
      <right style="thin">
        <color auto="1"/>
      </right>
      <top style="thin">
        <color auto="1"/>
      </top>
      <bottom style="thick">
        <color theme="3"/>
      </bottom>
      <diagonal/>
    </border>
    <border>
      <left style="thick">
        <color theme="5" tint="-0.24994659260841701"/>
      </left>
      <right style="thick">
        <color theme="4" tint="-0.24994659260841701"/>
      </right>
      <top style="thick">
        <color theme="5" tint="-0.24994659260841701"/>
      </top>
      <bottom style="thick">
        <color theme="5" tint="-0.24994659260841701"/>
      </bottom>
      <diagonal/>
    </border>
    <border>
      <left/>
      <right style="thick">
        <color theme="3"/>
      </right>
      <top/>
      <bottom style="thick">
        <color theme="3" tint="-0.24994659260841701"/>
      </bottom>
      <diagonal/>
    </border>
    <border>
      <left style="thick">
        <color theme="4" tint="-0.249977111117893"/>
      </left>
      <right style="thin">
        <color auto="1"/>
      </right>
      <top style="thick">
        <color theme="4" tint="-0.249977111117893"/>
      </top>
      <bottom style="medium">
        <color theme="4" tint="-0.249977111117893"/>
      </bottom>
      <diagonal/>
    </border>
    <border>
      <left style="thin">
        <color auto="1"/>
      </left>
      <right style="thin">
        <color auto="1"/>
      </right>
      <top style="thick">
        <color theme="4" tint="-0.249977111117893"/>
      </top>
      <bottom style="medium">
        <color theme="4" tint="-0.249977111117893"/>
      </bottom>
      <diagonal/>
    </border>
    <border>
      <left style="thin">
        <color auto="1"/>
      </left>
      <right style="thick">
        <color theme="4" tint="-0.249977111117893"/>
      </right>
      <top style="thick">
        <color theme="4" tint="-0.249977111117893"/>
      </top>
      <bottom style="medium">
        <color theme="4" tint="-0.249977111117893"/>
      </bottom>
      <diagonal/>
    </border>
    <border>
      <left style="thin">
        <color auto="1"/>
      </left>
      <right style="thin">
        <color auto="1"/>
      </right>
      <top style="medium">
        <color theme="4" tint="-0.249977111117893"/>
      </top>
      <bottom style="thick">
        <color theme="3" tint="-0.24994659260841701"/>
      </bottom>
      <diagonal/>
    </border>
    <border>
      <left style="thick">
        <color theme="4" tint="-0.24994659260841701"/>
      </left>
      <right style="thin">
        <color auto="1"/>
      </right>
      <top style="medium">
        <color theme="4" tint="-0.249977111117893"/>
      </top>
      <bottom style="thick">
        <color theme="3" tint="-0.24994659260841701"/>
      </bottom>
      <diagonal/>
    </border>
    <border>
      <left style="thin">
        <color auto="1"/>
      </left>
      <right style="thick">
        <color theme="4" tint="-0.24994659260841701"/>
      </right>
      <top style="medium">
        <color theme="4" tint="-0.249977111117893"/>
      </top>
      <bottom style="thick">
        <color theme="3" tint="-0.24994659260841701"/>
      </bottom>
      <diagonal/>
    </border>
    <border>
      <left/>
      <right style="thick">
        <color theme="5" tint="-0.24994659260841701"/>
      </right>
      <top style="thin">
        <color theme="3"/>
      </top>
      <bottom style="thick">
        <color theme="3"/>
      </bottom>
      <diagonal/>
    </border>
    <border>
      <left/>
      <right/>
      <top style="thick">
        <color theme="3"/>
      </top>
      <bottom style="thick">
        <color theme="3" tint="-0.24994659260841701"/>
      </bottom>
      <diagonal/>
    </border>
    <border>
      <left/>
      <right style="thick">
        <color theme="3" tint="-0.24994659260841701"/>
      </right>
      <top style="thick">
        <color theme="3"/>
      </top>
      <bottom style="thick">
        <color theme="3" tint="-0.24994659260841701"/>
      </bottom>
      <diagonal/>
    </border>
    <border>
      <left style="medium">
        <color theme="4" tint="-0.249977111117893"/>
      </left>
      <right style="medium">
        <color theme="4" tint="-0.249977111117893"/>
      </right>
      <top style="thick">
        <color theme="4" tint="-0.249977111117893"/>
      </top>
      <bottom/>
      <diagonal/>
    </border>
    <border>
      <left style="medium">
        <color theme="4" tint="-0.249977111117893"/>
      </left>
      <right style="medium">
        <color theme="4" tint="-0.249977111117893"/>
      </right>
      <top style="medium">
        <color theme="3"/>
      </top>
      <bottom style="thin">
        <color theme="3"/>
      </bottom>
      <diagonal/>
    </border>
    <border>
      <left style="medium">
        <color theme="4" tint="-0.249977111117893"/>
      </left>
      <right style="medium">
        <color theme="4" tint="-0.249977111117893"/>
      </right>
      <top style="thin">
        <color theme="3"/>
      </top>
      <bottom style="thick">
        <color theme="3"/>
      </bottom>
      <diagonal/>
    </border>
    <border>
      <left/>
      <right style="thick">
        <color theme="5" tint="-0.24994659260841701"/>
      </right>
      <top style="thick">
        <color theme="5"/>
      </top>
      <bottom style="thin">
        <color theme="3"/>
      </bottom>
      <diagonal/>
    </border>
    <border>
      <left/>
      <right style="medium">
        <color theme="4" tint="-0.249977111117893"/>
      </right>
      <top style="medium">
        <color theme="4" tint="-0.249977111117893"/>
      </top>
      <bottom style="thick">
        <color theme="3" tint="-0.24994659260841701"/>
      </bottom>
      <diagonal/>
    </border>
    <border>
      <left style="thick">
        <color theme="5" tint="-0.24994659260841701"/>
      </left>
      <right style="thick">
        <color theme="5" tint="-0.24994659260841701"/>
      </right>
      <top style="thick">
        <color theme="5"/>
      </top>
      <bottom style="thin">
        <color auto="1"/>
      </bottom>
      <diagonal/>
    </border>
    <border>
      <left/>
      <right/>
      <top style="thick">
        <color theme="5"/>
      </top>
      <bottom/>
      <diagonal/>
    </border>
    <border>
      <left style="thick">
        <color theme="5" tint="-0.24994659260841701"/>
      </left>
      <right/>
      <top style="thick">
        <color theme="5"/>
      </top>
      <bottom style="thin">
        <color auto="1"/>
      </bottom>
      <diagonal/>
    </border>
    <border>
      <left/>
      <right style="thick">
        <color theme="5"/>
      </right>
      <top style="thick">
        <color theme="5"/>
      </top>
      <bottom style="thin">
        <color auto="1"/>
      </bottom>
      <diagonal/>
    </border>
    <border>
      <left/>
      <right style="thick">
        <color theme="5"/>
      </right>
      <top style="thin">
        <color auto="1"/>
      </top>
      <bottom style="thick">
        <color theme="3" tint="-0.24994659260841701"/>
      </bottom>
      <diagonal/>
    </border>
    <border>
      <left style="thin">
        <color auto="1"/>
      </left>
      <right/>
      <top style="thin">
        <color auto="1"/>
      </top>
      <bottom style="thick">
        <color theme="3"/>
      </bottom>
      <diagonal/>
    </border>
    <border>
      <left style="thick">
        <color theme="5"/>
      </left>
      <right/>
      <top style="thick">
        <color theme="5"/>
      </top>
      <bottom style="thin">
        <color theme="3"/>
      </bottom>
      <diagonal/>
    </border>
    <border>
      <left style="thick">
        <color theme="5"/>
      </left>
      <right/>
      <top style="thin">
        <color theme="3"/>
      </top>
      <bottom style="thick">
        <color theme="3"/>
      </bottom>
      <diagonal/>
    </border>
    <border>
      <left style="medium">
        <color theme="3"/>
      </left>
      <right/>
      <top style="thick">
        <color theme="4" tint="-0.249977111117893"/>
      </top>
      <bottom/>
      <diagonal/>
    </border>
    <border>
      <left/>
      <right style="medium">
        <color theme="4" tint="-0.249977111117893"/>
      </right>
      <top/>
      <bottom/>
      <diagonal/>
    </border>
    <border>
      <left style="thick">
        <color theme="4" tint="-0.249977111117893"/>
      </left>
      <right/>
      <top/>
      <bottom style="thick">
        <color theme="3"/>
      </bottom>
      <diagonal/>
    </border>
    <border>
      <left/>
      <right style="medium">
        <color theme="4" tint="-0.249977111117893"/>
      </right>
      <top/>
      <bottom style="thick">
        <color theme="3"/>
      </bottom>
      <diagonal/>
    </border>
    <border>
      <left style="medium">
        <color theme="4" tint="-0.249977111117893"/>
      </left>
      <right/>
      <top/>
      <bottom/>
      <diagonal/>
    </border>
    <border>
      <left style="medium">
        <color theme="4" tint="-0.249977111117893"/>
      </left>
      <right/>
      <top/>
      <bottom style="thick">
        <color theme="3"/>
      </bottom>
      <diagonal/>
    </border>
    <border>
      <left/>
      <right style="medium">
        <color theme="3"/>
      </right>
      <top/>
      <bottom/>
      <diagonal/>
    </border>
    <border>
      <left/>
      <right style="medium">
        <color theme="3"/>
      </right>
      <top/>
      <bottom style="thick">
        <color theme="3"/>
      </bottom>
      <diagonal/>
    </border>
    <border>
      <left style="medium">
        <color theme="3"/>
      </left>
      <right/>
      <top/>
      <bottom/>
      <diagonal/>
    </border>
    <border>
      <left style="medium">
        <color theme="3"/>
      </left>
      <right/>
      <top/>
      <bottom style="thick">
        <color theme="3"/>
      </bottom>
      <diagonal/>
    </border>
    <border>
      <left/>
      <right style="medium">
        <color theme="3"/>
      </right>
      <top style="thick">
        <color theme="4" tint="-0.249977111117893"/>
      </top>
      <bottom/>
      <diagonal/>
    </border>
    <border>
      <left style="medium">
        <color theme="4" tint="-0.249977111117893"/>
      </left>
      <right/>
      <top style="thick">
        <color theme="4" tint="-0.249977111117893"/>
      </top>
      <bottom/>
      <diagonal/>
    </border>
    <border>
      <left/>
      <right style="medium">
        <color theme="4" tint="-0.249977111117893"/>
      </right>
      <top style="thick">
        <color theme="4" tint="-0.249977111117893"/>
      </top>
      <bottom/>
      <diagonal/>
    </border>
    <border>
      <left/>
      <right style="thick">
        <color theme="4" tint="-0.249977111117893"/>
      </right>
      <top style="thick">
        <color theme="4" tint="-0.249977111117893"/>
      </top>
      <bottom style="thick">
        <color theme="4" tint="-0.249977111117893"/>
      </bottom>
      <diagonal/>
    </border>
    <border>
      <left style="thin">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dashed">
        <color indexed="64"/>
      </top>
      <bottom/>
      <diagonal/>
    </border>
    <border>
      <left/>
      <right style="medium">
        <color indexed="64"/>
      </right>
      <top style="dashed">
        <color indexed="64"/>
      </top>
      <bottom/>
      <diagonal/>
    </border>
    <border>
      <left style="medium">
        <color indexed="64"/>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right/>
      <top/>
      <bottom style="double">
        <color indexed="64"/>
      </bottom>
      <diagonal/>
    </border>
    <border>
      <left/>
      <right/>
      <top style="thin">
        <color indexed="64"/>
      </top>
      <bottom/>
      <diagonal/>
    </border>
    <border>
      <left style="thin">
        <color auto="1"/>
      </left>
      <right style="medium">
        <color auto="1"/>
      </right>
      <top style="medium">
        <color auto="1"/>
      </top>
      <bottom style="medium">
        <color auto="1"/>
      </bottom>
      <diagonal/>
    </border>
    <border>
      <left/>
      <right style="thin">
        <color theme="3" tint="-0.24994659260841701"/>
      </right>
      <top style="thin">
        <color theme="3" tint="-0.24994659260841701"/>
      </top>
      <bottom style="thin">
        <color theme="3" tint="-0.24994659260841701"/>
      </bottom>
      <diagonal/>
    </border>
    <border>
      <left/>
      <right style="thin">
        <color theme="3" tint="-0.24994659260841701"/>
      </right>
      <top style="thin">
        <color theme="3" tint="-0.24994659260841701"/>
      </top>
      <bottom style="thick">
        <color theme="3" tint="-0.24994659260841701"/>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dashed">
        <color auto="1"/>
      </bottom>
      <diagonal/>
    </border>
    <border>
      <left/>
      <right/>
      <top style="dashed">
        <color auto="1"/>
      </top>
      <bottom/>
      <diagonal/>
    </border>
    <border>
      <left style="medium">
        <color indexed="64"/>
      </left>
      <right/>
      <top style="dashed">
        <color indexed="64"/>
      </top>
      <bottom style="medium">
        <color indexed="64"/>
      </bottom>
      <diagonal/>
    </border>
    <border>
      <left/>
      <right style="medium">
        <color indexed="64"/>
      </right>
      <top style="dashed">
        <color indexed="64"/>
      </top>
      <bottom style="medium">
        <color indexed="64"/>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style="medium">
        <color indexed="64"/>
      </left>
      <right/>
      <top/>
      <bottom style="dotted">
        <color indexed="64"/>
      </bottom>
      <diagonal/>
    </border>
    <border>
      <left/>
      <right/>
      <top/>
      <bottom style="dotted">
        <color indexed="64"/>
      </bottom>
      <diagonal/>
    </border>
    <border>
      <left/>
      <right style="medium">
        <color indexed="64"/>
      </right>
      <top/>
      <bottom style="dotted">
        <color indexed="64"/>
      </bottom>
      <diagonal/>
    </border>
    <border>
      <left style="thin">
        <color indexed="64"/>
      </left>
      <right/>
      <top/>
      <bottom style="thin">
        <color indexed="64"/>
      </bottom>
      <diagonal/>
    </border>
    <border>
      <left style="thin">
        <color rgb="FFC00000"/>
      </left>
      <right style="thin">
        <color rgb="FFC00000"/>
      </right>
      <top style="thin">
        <color rgb="FFC00000"/>
      </top>
      <bottom style="thin">
        <color rgb="FFC00000"/>
      </bottom>
      <diagonal/>
    </border>
    <border>
      <left style="thin">
        <color rgb="FFC00000"/>
      </left>
      <right style="thin">
        <color rgb="FFC00000"/>
      </right>
      <top/>
      <bottom style="thin">
        <color rgb="FFC00000"/>
      </bottom>
      <diagonal/>
    </border>
    <border>
      <left style="medium">
        <color auto="1"/>
      </left>
      <right/>
      <top/>
      <bottom style="dashed">
        <color auto="1"/>
      </bottom>
      <diagonal/>
    </border>
    <border>
      <left style="medium">
        <color indexed="64"/>
      </left>
      <right/>
      <top/>
      <bottom style="thin">
        <color auto="1"/>
      </bottom>
      <diagonal/>
    </border>
    <border>
      <left/>
      <right style="medium">
        <color indexed="64"/>
      </right>
      <top/>
      <bottom style="thin">
        <color auto="1"/>
      </bottom>
      <diagonal/>
    </border>
    <border>
      <left style="thin">
        <color indexed="64"/>
      </left>
      <right style="thin">
        <color indexed="64"/>
      </right>
      <top/>
      <bottom/>
      <diagonal/>
    </border>
    <border>
      <left style="thin">
        <color rgb="FFC00000"/>
      </left>
      <right style="thin">
        <color rgb="FFC00000"/>
      </right>
      <top style="thin">
        <color rgb="FFC00000"/>
      </top>
      <bottom style="double">
        <color rgb="FFC00000"/>
      </bottom>
      <diagonal/>
    </border>
  </borders>
  <cellStyleXfs count="11">
    <xf numFmtId="0" fontId="0" fillId="0" borderId="0"/>
    <xf numFmtId="0" fontId="4" fillId="2" borderId="13" applyNumberFormat="0" applyAlignment="0" applyProtection="0"/>
    <xf numFmtId="0" fontId="3" fillId="3" borderId="14" applyNumberFormat="0" applyFont="0" applyAlignment="0" applyProtection="0"/>
    <xf numFmtId="0" fontId="5" fillId="0" borderId="0" applyNumberFormat="0" applyFill="0" applyBorder="0" applyAlignment="0" applyProtection="0"/>
    <xf numFmtId="0" fontId="6" fillId="4" borderId="0" applyNumberFormat="0" applyBorder="0" applyAlignment="0" applyProtection="0"/>
    <xf numFmtId="0" fontId="6" fillId="5" borderId="0" applyNumberFormat="0" applyBorder="0" applyAlignment="0" applyProtection="0"/>
    <xf numFmtId="0" fontId="32" fillId="0" borderId="0" applyNumberFormat="0" applyFill="0" applyBorder="0" applyAlignment="0" applyProtection="0">
      <alignment vertical="top"/>
      <protection locked="0"/>
    </xf>
    <xf numFmtId="9" fontId="3" fillId="0" borderId="0" applyFont="0" applyFill="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12" fillId="36" borderId="0" applyNumberFormat="0" applyBorder="0" applyAlignment="0" applyProtection="0"/>
  </cellStyleXfs>
  <cellXfs count="478">
    <xf numFmtId="0" fontId="0" fillId="0" borderId="0" xfId="0"/>
    <xf numFmtId="0" fontId="0" fillId="0" borderId="0" xfId="0" applyAlignment="1">
      <alignment horizontal="center"/>
    </xf>
    <xf numFmtId="1" fontId="0" fillId="0" borderId="0" xfId="0" applyNumberFormat="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0" fillId="0" borderId="4" xfId="0" applyBorder="1"/>
    <xf numFmtId="0" fontId="0" fillId="0" borderId="5" xfId="0" applyBorder="1"/>
    <xf numFmtId="0" fontId="0" fillId="0" borderId="0" xfId="0" applyFont="1"/>
    <xf numFmtId="0" fontId="0" fillId="0" borderId="8" xfId="0" applyBorder="1" applyAlignment="1">
      <alignment horizontal="center"/>
    </xf>
    <xf numFmtId="0" fontId="0" fillId="0" borderId="9" xfId="0" applyBorder="1" applyAlignment="1">
      <alignment horizontal="center"/>
    </xf>
    <xf numFmtId="1" fontId="0" fillId="0" borderId="9" xfId="0" applyNumberFormat="1" applyBorder="1" applyAlignment="1">
      <alignment horizontal="center" wrapText="1"/>
    </xf>
    <xf numFmtId="0" fontId="0" fillId="0" borderId="0" xfId="0" applyBorder="1"/>
    <xf numFmtId="1" fontId="0" fillId="0" borderId="7" xfId="0" applyNumberFormat="1" applyBorder="1" applyAlignment="1">
      <alignment horizontal="center"/>
    </xf>
    <xf numFmtId="1" fontId="0" fillId="0" borderId="16" xfId="0" applyNumberFormat="1" applyBorder="1" applyAlignment="1">
      <alignment horizontal="center"/>
    </xf>
    <xf numFmtId="1" fontId="0" fillId="0" borderId="9" xfId="0" applyNumberFormat="1" applyFill="1" applyBorder="1" applyAlignment="1">
      <alignment horizontal="center"/>
    </xf>
    <xf numFmtId="1" fontId="0" fillId="0" borderId="2" xfId="0" applyNumberFormat="1" applyFill="1" applyBorder="1" applyAlignment="1">
      <alignment horizontal="center"/>
    </xf>
    <xf numFmtId="1" fontId="0" fillId="0" borderId="2" xfId="0" applyNumberFormat="1" applyBorder="1" applyAlignment="1">
      <alignment horizontal="center" vertical="center"/>
    </xf>
    <xf numFmtId="0" fontId="2" fillId="0" borderId="10" xfId="0" applyFont="1" applyBorder="1" applyAlignment="1">
      <alignment horizontal="center" vertical="center" wrapText="1"/>
    </xf>
    <xf numFmtId="0" fontId="2" fillId="0" borderId="11" xfId="0" applyFont="1" applyBorder="1" applyAlignment="1">
      <alignment horizontal="center" vertical="center" wrapText="1"/>
    </xf>
    <xf numFmtId="1" fontId="2" fillId="0" borderId="11" xfId="0" applyNumberFormat="1" applyFont="1" applyBorder="1" applyAlignment="1">
      <alignment horizontal="center" vertical="center" wrapText="1"/>
    </xf>
    <xf numFmtId="0" fontId="2" fillId="0" borderId="11" xfId="0" applyFont="1" applyFill="1" applyBorder="1" applyAlignment="1">
      <alignment horizontal="center" vertical="center" wrapText="1"/>
    </xf>
    <xf numFmtId="0" fontId="2" fillId="0" borderId="15" xfId="0" applyFont="1" applyFill="1" applyBorder="1" applyAlignment="1">
      <alignment horizontal="center" vertical="center" wrapText="1"/>
    </xf>
    <xf numFmtId="0" fontId="0" fillId="0" borderId="0" xfId="0" applyBorder="1" applyAlignment="1">
      <alignment horizontal="center" vertical="center"/>
    </xf>
    <xf numFmtId="1" fontId="0" fillId="0" borderId="0" xfId="0" applyNumberFormat="1" applyBorder="1" applyAlignment="1">
      <alignment horizontal="center" vertical="center"/>
    </xf>
    <xf numFmtId="1" fontId="0" fillId="0" borderId="7" xfId="0" applyNumberFormat="1" applyBorder="1" applyAlignment="1">
      <alignment horizontal="center" vertical="center"/>
    </xf>
    <xf numFmtId="3" fontId="0" fillId="0" borderId="5" xfId="0" applyNumberFormat="1" applyBorder="1" applyAlignment="1">
      <alignment horizontal="center"/>
    </xf>
    <xf numFmtId="1" fontId="0" fillId="0" borderId="5" xfId="0" applyNumberFormat="1" applyBorder="1" applyAlignment="1">
      <alignment horizontal="center"/>
    </xf>
    <xf numFmtId="0" fontId="4" fillId="2" borderId="19" xfId="1" applyFont="1" applyBorder="1" applyAlignment="1" applyProtection="1">
      <alignment horizontal="center"/>
      <protection locked="0"/>
    </xf>
    <xf numFmtId="9" fontId="4" fillId="2" borderId="21" xfId="1" applyNumberFormat="1" applyFont="1" applyBorder="1" applyAlignment="1" applyProtection="1">
      <alignment horizontal="center"/>
      <protection locked="0"/>
    </xf>
    <xf numFmtId="0" fontId="9" fillId="6" borderId="18" xfId="0" applyFont="1" applyFill="1" applyBorder="1" applyProtection="1"/>
    <xf numFmtId="0" fontId="9" fillId="6" borderId="20" xfId="0" applyFont="1" applyFill="1" applyBorder="1" applyAlignment="1" applyProtection="1">
      <alignment horizontal="left"/>
    </xf>
    <xf numFmtId="0" fontId="6" fillId="7" borderId="20" xfId="0" applyFont="1" applyFill="1" applyBorder="1" applyAlignment="1" applyProtection="1">
      <alignment horizontal="left"/>
    </xf>
    <xf numFmtId="0" fontId="9" fillId="0" borderId="0" xfId="2" applyFont="1" applyFill="1" applyBorder="1"/>
    <xf numFmtId="0" fontId="6" fillId="0" borderId="0" xfId="5" applyFill="1" applyBorder="1"/>
    <xf numFmtId="0" fontId="10" fillId="0" borderId="21" xfId="0" applyFont="1" applyBorder="1" applyProtection="1"/>
    <xf numFmtId="3" fontId="6" fillId="8" borderId="22" xfId="5" applyNumberFormat="1" applyFont="1" applyFill="1" applyBorder="1" applyAlignment="1" applyProtection="1">
      <alignment horizontal="center"/>
    </xf>
    <xf numFmtId="0" fontId="9" fillId="0" borderId="0" xfId="2" applyFont="1" applyFill="1" applyBorder="1" applyAlignment="1" applyProtection="1">
      <alignment horizontal="right"/>
    </xf>
    <xf numFmtId="3" fontId="9" fillId="0" borderId="0" xfId="2" applyNumberFormat="1" applyFont="1" applyFill="1" applyBorder="1" applyAlignment="1" applyProtection="1">
      <alignment horizontal="center"/>
    </xf>
    <xf numFmtId="0" fontId="4" fillId="2" borderId="21" xfId="1" applyFont="1" applyBorder="1" applyAlignment="1" applyProtection="1">
      <alignment horizontal="center" vertical="center"/>
      <protection locked="0"/>
    </xf>
    <xf numFmtId="3" fontId="5" fillId="0" borderId="24" xfId="3" applyNumberFormat="1" applyFont="1" applyBorder="1" applyAlignment="1" applyProtection="1">
      <alignment horizontal="center" vertical="center"/>
    </xf>
    <xf numFmtId="3" fontId="5" fillId="0" borderId="26" xfId="3" applyNumberFormat="1" applyFont="1" applyBorder="1" applyAlignment="1" applyProtection="1">
      <alignment horizontal="center" vertical="center"/>
    </xf>
    <xf numFmtId="0" fontId="10" fillId="0" borderId="26" xfId="0" applyFont="1" applyBorder="1" applyProtection="1"/>
    <xf numFmtId="3" fontId="6" fillId="4" borderId="27" xfId="4" applyNumberFormat="1" applyBorder="1" applyAlignment="1" applyProtection="1">
      <alignment horizontal="center" vertical="center"/>
    </xf>
    <xf numFmtId="3" fontId="6" fillId="4" borderId="26" xfId="4" applyNumberFormat="1" applyFont="1" applyBorder="1" applyAlignment="1" applyProtection="1">
      <alignment horizontal="center" vertical="center"/>
    </xf>
    <xf numFmtId="3" fontId="6" fillId="4" borderId="29" xfId="4" applyNumberFormat="1" applyFont="1" applyBorder="1" applyAlignment="1" applyProtection="1">
      <alignment horizontal="center" vertical="center"/>
    </xf>
    <xf numFmtId="1" fontId="0" fillId="0" borderId="0" xfId="0" applyNumberFormat="1"/>
    <xf numFmtId="0" fontId="0" fillId="0" borderId="0" xfId="0" applyNumberFormat="1"/>
    <xf numFmtId="0" fontId="0" fillId="0" borderId="0" xfId="0" applyNumberFormat="1" applyAlignment="1"/>
    <xf numFmtId="0" fontId="0" fillId="0" borderId="30" xfId="0" applyNumberFormat="1" applyBorder="1"/>
    <xf numFmtId="0" fontId="0" fillId="0" borderId="0" xfId="0" applyNumberFormat="1" applyAlignment="1">
      <alignment horizontal="right"/>
    </xf>
    <xf numFmtId="0" fontId="0" fillId="0" borderId="0" xfId="0" applyNumberFormat="1" applyFont="1" applyAlignment="1">
      <alignment horizontal="right"/>
    </xf>
    <xf numFmtId="0" fontId="0" fillId="0" borderId="30" xfId="0" applyNumberFormat="1" applyBorder="1" applyAlignment="1">
      <alignment horizontal="center"/>
    </xf>
    <xf numFmtId="2" fontId="0" fillId="0" borderId="0" xfId="0" applyNumberFormat="1" applyAlignment="1">
      <alignment horizontal="right"/>
    </xf>
    <xf numFmtId="0" fontId="12" fillId="0" borderId="0" xfId="0" applyFont="1" applyProtection="1">
      <protection locked="0"/>
    </xf>
    <xf numFmtId="1" fontId="11" fillId="0" borderId="0" xfId="0" applyNumberFormat="1" applyFont="1" applyAlignment="1" applyProtection="1">
      <alignment horizontal="left"/>
      <protection locked="0"/>
    </xf>
    <xf numFmtId="0" fontId="3" fillId="0" borderId="0" xfId="0" applyFont="1" applyProtection="1">
      <protection locked="0"/>
    </xf>
    <xf numFmtId="2" fontId="3" fillId="0" borderId="0" xfId="0" applyNumberFormat="1" applyFont="1" applyProtection="1"/>
    <xf numFmtId="0" fontId="3" fillId="0" borderId="0" xfId="0" applyFont="1" applyBorder="1" applyProtection="1">
      <protection locked="0"/>
    </xf>
    <xf numFmtId="0" fontId="3"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11" fillId="0" borderId="0" xfId="0" applyFont="1" applyProtection="1"/>
    <xf numFmtId="1" fontId="11" fillId="0" borderId="0" xfId="0" applyNumberFormat="1" applyFont="1" applyProtection="1"/>
    <xf numFmtId="2" fontId="3" fillId="0" borderId="0" xfId="0" applyNumberFormat="1" applyFont="1" applyBorder="1" applyProtection="1"/>
    <xf numFmtId="0" fontId="0" fillId="0" borderId="0" xfId="0" applyNumberFormat="1" applyBorder="1"/>
    <xf numFmtId="1" fontId="11" fillId="0" borderId="0" xfId="1" applyNumberFormat="1" applyFont="1" applyFill="1" applyBorder="1" applyAlignment="1" applyProtection="1">
      <alignment horizontal="center" wrapText="1"/>
    </xf>
    <xf numFmtId="0" fontId="0" fillId="0" borderId="0" xfId="0" applyNumberFormat="1" applyAlignment="1">
      <alignment horizontal="left"/>
    </xf>
    <xf numFmtId="0" fontId="11" fillId="0" borderId="0" xfId="0" applyFont="1" applyFill="1" applyBorder="1" applyProtection="1"/>
    <xf numFmtId="0" fontId="0" fillId="0" borderId="0" xfId="0" applyBorder="1" applyAlignment="1" applyProtection="1">
      <alignment horizontal="left" vertical="center"/>
      <protection locked="0"/>
    </xf>
    <xf numFmtId="0" fontId="11" fillId="0" borderId="30" xfId="0" applyFont="1" applyBorder="1" applyProtection="1"/>
    <xf numFmtId="0" fontId="11" fillId="0" borderId="30" xfId="0" applyNumberFormat="1" applyFont="1" applyBorder="1" applyProtection="1"/>
    <xf numFmtId="1" fontId="0" fillId="0" borderId="0" xfId="0" applyNumberFormat="1" applyAlignment="1">
      <alignment horizontal="right"/>
    </xf>
    <xf numFmtId="0" fontId="11" fillId="0" borderId="0" xfId="0" applyFont="1" applyFill="1" applyBorder="1" applyProtection="1">
      <protection locked="0"/>
    </xf>
    <xf numFmtId="0" fontId="11" fillId="0" borderId="64" xfId="0" applyFont="1" applyFill="1" applyBorder="1" applyProtection="1"/>
    <xf numFmtId="0" fontId="11" fillId="0" borderId="65" xfId="0" applyFont="1" applyFill="1" applyBorder="1" applyProtection="1"/>
    <xf numFmtId="0" fontId="11" fillId="0" borderId="65" xfId="0" applyFont="1" applyFill="1" applyBorder="1" applyProtection="1">
      <protection locked="0"/>
    </xf>
    <xf numFmtId="0" fontId="11" fillId="0" borderId="66" xfId="0" applyFont="1" applyFill="1" applyBorder="1" applyProtection="1">
      <protection locked="0"/>
    </xf>
    <xf numFmtId="0" fontId="11" fillId="0" borderId="67" xfId="0" applyFont="1" applyFill="1" applyBorder="1" applyProtection="1"/>
    <xf numFmtId="0" fontId="11" fillId="0" borderId="49" xfId="0" applyFont="1" applyFill="1" applyBorder="1" applyProtection="1">
      <protection locked="0"/>
    </xf>
    <xf numFmtId="1" fontId="11" fillId="0" borderId="67" xfId="0" applyNumberFormat="1" applyFont="1" applyFill="1" applyBorder="1" applyProtection="1"/>
    <xf numFmtId="164" fontId="11" fillId="0" borderId="67" xfId="0" applyNumberFormat="1" applyFont="1" applyFill="1" applyBorder="1" applyProtection="1"/>
    <xf numFmtId="0" fontId="11" fillId="0" borderId="68" xfId="0" applyFont="1" applyFill="1" applyBorder="1" applyProtection="1"/>
    <xf numFmtId="0" fontId="11" fillId="0" borderId="44" xfId="0" applyFont="1" applyFill="1" applyBorder="1" applyProtection="1"/>
    <xf numFmtId="0" fontId="11" fillId="0" borderId="44" xfId="0" applyFont="1" applyFill="1" applyBorder="1" applyProtection="1">
      <protection locked="0"/>
    </xf>
    <xf numFmtId="0" fontId="11" fillId="0" borderId="69" xfId="0" applyFont="1" applyFill="1" applyBorder="1" applyProtection="1">
      <protection locked="0"/>
    </xf>
    <xf numFmtId="0" fontId="2" fillId="0" borderId="41" xfId="0" applyFont="1" applyBorder="1" applyAlignment="1" applyProtection="1">
      <alignment horizontal="center" vertical="center"/>
    </xf>
    <xf numFmtId="0" fontId="2" fillId="0" borderId="37" xfId="0" applyFont="1" applyBorder="1" applyAlignment="1" applyProtection="1">
      <alignment horizontal="center" vertical="center" wrapText="1"/>
    </xf>
    <xf numFmtId="1" fontId="2" fillId="0" borderId="37" xfId="0" applyNumberFormat="1" applyFont="1" applyBorder="1" applyAlignment="1" applyProtection="1">
      <alignment horizontal="center" vertical="center" wrapText="1"/>
    </xf>
    <xf numFmtId="1" fontId="2" fillId="0" borderId="76" xfId="0" applyNumberFormat="1" applyFont="1" applyBorder="1" applyAlignment="1" applyProtection="1">
      <alignment horizontal="center" vertical="center" wrapText="1"/>
    </xf>
    <xf numFmtId="0" fontId="3" fillId="0" borderId="42" xfId="0" applyFont="1" applyBorder="1" applyAlignment="1" applyProtection="1">
      <alignment horizontal="center" vertical="center"/>
    </xf>
    <xf numFmtId="1" fontId="3" fillId="0" borderId="58" xfId="0" applyNumberFormat="1" applyFont="1" applyBorder="1" applyAlignment="1" applyProtection="1">
      <alignment horizontal="center" vertical="center"/>
    </xf>
    <xf numFmtId="0" fontId="3" fillId="0" borderId="43" xfId="0" applyFont="1" applyBorder="1" applyAlignment="1" applyProtection="1">
      <alignment horizontal="center" vertical="center"/>
    </xf>
    <xf numFmtId="1" fontId="3" fillId="0" borderId="59" xfId="0" applyNumberFormat="1" applyFont="1" applyBorder="1" applyAlignment="1" applyProtection="1">
      <alignment horizontal="center" vertical="center"/>
    </xf>
    <xf numFmtId="0" fontId="3" fillId="0" borderId="45" xfId="0" applyFont="1" applyBorder="1" applyAlignment="1" applyProtection="1">
      <alignment horizontal="center" vertical="center"/>
    </xf>
    <xf numFmtId="1" fontId="3" fillId="0" borderId="60" xfId="0" applyNumberFormat="1" applyFont="1" applyBorder="1" applyAlignment="1" applyProtection="1">
      <alignment horizontal="center" vertical="center"/>
    </xf>
    <xf numFmtId="0" fontId="3" fillId="0" borderId="40" xfId="0" applyFont="1" applyBorder="1" applyAlignment="1" applyProtection="1">
      <alignment horizontal="center" vertical="center"/>
      <protection locked="0"/>
    </xf>
    <xf numFmtId="0" fontId="3" fillId="0" borderId="39" xfId="0" applyFont="1" applyBorder="1" applyAlignment="1" applyProtection="1">
      <alignment horizontal="center" vertical="center"/>
    </xf>
    <xf numFmtId="0" fontId="11" fillId="0" borderId="0" xfId="0" applyNumberFormat="1" applyFont="1" applyProtection="1"/>
    <xf numFmtId="1" fontId="2" fillId="16" borderId="37" xfId="0" applyNumberFormat="1" applyFont="1" applyFill="1" applyBorder="1" applyAlignment="1" applyProtection="1">
      <alignment horizontal="center" vertical="center" wrapText="1"/>
    </xf>
    <xf numFmtId="1" fontId="2" fillId="17" borderId="73" xfId="0" applyNumberFormat="1" applyFont="1" applyFill="1" applyBorder="1" applyAlignment="1" applyProtection="1">
      <alignment horizontal="center" vertical="center" wrapText="1"/>
    </xf>
    <xf numFmtId="1" fontId="2" fillId="18" borderId="74" xfId="0" applyNumberFormat="1" applyFont="1" applyFill="1" applyBorder="1" applyAlignment="1" applyProtection="1">
      <alignment horizontal="center" vertical="center" wrapText="1"/>
    </xf>
    <xf numFmtId="1" fontId="2" fillId="19" borderId="37" xfId="0" applyNumberFormat="1" applyFont="1" applyFill="1" applyBorder="1" applyAlignment="1" applyProtection="1">
      <alignment horizontal="center" vertical="center" wrapText="1"/>
    </xf>
    <xf numFmtId="1" fontId="2" fillId="20" borderId="73" xfId="0" applyNumberFormat="1" applyFont="1" applyFill="1" applyBorder="1" applyAlignment="1" applyProtection="1">
      <alignment horizontal="center" vertical="center" wrapText="1"/>
    </xf>
    <xf numFmtId="0" fontId="0" fillId="0" borderId="0" xfId="0" applyAlignment="1" applyProtection="1">
      <alignment horizontal="center"/>
      <protection locked="0"/>
    </xf>
    <xf numFmtId="1" fontId="2" fillId="10" borderId="36" xfId="1" applyNumberFormat="1" applyFont="1" applyFill="1" applyBorder="1" applyAlignment="1" applyProtection="1">
      <alignment horizontal="center" vertical="center" wrapText="1"/>
      <protection locked="0"/>
    </xf>
    <xf numFmtId="1" fontId="2" fillId="10" borderId="17" xfId="1" applyNumberFormat="1" applyFont="1" applyFill="1" applyBorder="1" applyAlignment="1" applyProtection="1">
      <alignment horizontal="center" vertical="center" wrapText="1"/>
      <protection locked="0"/>
    </xf>
    <xf numFmtId="1" fontId="2" fillId="10" borderId="46" xfId="1" applyNumberFormat="1" applyFont="1" applyFill="1" applyBorder="1" applyAlignment="1" applyProtection="1">
      <alignment horizontal="center" vertical="center" wrapText="1"/>
      <protection locked="0"/>
    </xf>
    <xf numFmtId="1" fontId="2" fillId="25" borderId="75" xfId="0" applyNumberFormat="1" applyFont="1" applyFill="1" applyBorder="1" applyAlignment="1" applyProtection="1">
      <alignment horizontal="center" vertical="center" wrapText="1"/>
    </xf>
    <xf numFmtId="1" fontId="2" fillId="25" borderId="37" xfId="0" applyNumberFormat="1" applyFont="1" applyFill="1" applyBorder="1" applyAlignment="1" applyProtection="1">
      <alignment horizontal="center" vertical="center" wrapText="1"/>
    </xf>
    <xf numFmtId="0" fontId="13" fillId="26" borderId="55" xfId="0" applyFont="1" applyFill="1" applyBorder="1" applyAlignment="1" applyProtection="1">
      <alignment horizontal="center" vertical="center"/>
      <protection hidden="1"/>
    </xf>
    <xf numFmtId="0" fontId="2" fillId="21" borderId="90" xfId="0" applyFont="1" applyFill="1" applyBorder="1" applyAlignment="1" applyProtection="1">
      <alignment horizontal="center" vertical="center"/>
      <protection hidden="1"/>
    </xf>
    <xf numFmtId="0" fontId="2" fillId="22" borderId="91" xfId="0" applyFont="1" applyFill="1" applyBorder="1" applyAlignment="1" applyProtection="1">
      <alignment horizontal="center" vertical="center"/>
      <protection hidden="1"/>
    </xf>
    <xf numFmtId="0" fontId="2" fillId="23" borderId="91" xfId="0" applyFont="1" applyFill="1" applyBorder="1" applyAlignment="1" applyProtection="1">
      <alignment horizontal="center" vertical="center"/>
      <protection hidden="1"/>
    </xf>
    <xf numFmtId="0" fontId="2" fillId="24" borderId="91" xfId="0" applyFont="1" applyFill="1" applyBorder="1" applyAlignment="1" applyProtection="1">
      <alignment horizontal="center" vertical="center"/>
      <protection hidden="1"/>
    </xf>
    <xf numFmtId="3" fontId="3" fillId="0" borderId="93" xfId="0" applyNumberFormat="1" applyFont="1" applyBorder="1" applyAlignment="1" applyProtection="1">
      <alignment horizontal="center" vertical="center"/>
      <protection hidden="1"/>
    </xf>
    <xf numFmtId="3" fontId="0" fillId="0" borderId="94" xfId="0" applyNumberFormat="1" applyBorder="1" applyAlignment="1" applyProtection="1">
      <alignment horizontal="center" vertical="center"/>
      <protection hidden="1"/>
    </xf>
    <xf numFmtId="3" fontId="11" fillId="0" borderId="95" xfId="0" applyNumberFormat="1" applyFont="1" applyBorder="1" applyAlignment="1" applyProtection="1">
      <alignment horizontal="center" vertical="center"/>
      <protection hidden="1"/>
    </xf>
    <xf numFmtId="0" fontId="2" fillId="28" borderId="92" xfId="0" applyFont="1" applyFill="1" applyBorder="1" applyAlignment="1" applyProtection="1">
      <alignment horizontal="center" vertical="center"/>
      <protection hidden="1"/>
    </xf>
    <xf numFmtId="0" fontId="23" fillId="10" borderId="88" xfId="0" applyFont="1" applyFill="1" applyBorder="1" applyAlignment="1" applyProtection="1">
      <alignment horizontal="center" vertical="center"/>
      <protection locked="0"/>
    </xf>
    <xf numFmtId="3" fontId="21" fillId="28" borderId="99" xfId="0" applyNumberFormat="1" applyFont="1" applyFill="1" applyBorder="1" applyAlignment="1" applyProtection="1">
      <alignment horizontal="center" vertical="center"/>
    </xf>
    <xf numFmtId="3" fontId="22" fillId="10" borderId="61" xfId="1" applyNumberFormat="1" applyFont="1" applyFill="1" applyBorder="1" applyAlignment="1" applyProtection="1">
      <alignment horizontal="center" vertical="center"/>
      <protection locked="0"/>
    </xf>
    <xf numFmtId="3" fontId="11" fillId="29" borderId="87" xfId="0" applyNumberFormat="1" applyFont="1" applyFill="1" applyBorder="1" applyAlignment="1" applyProtection="1">
      <alignment horizontal="center" vertical="center"/>
      <protection hidden="1"/>
    </xf>
    <xf numFmtId="0" fontId="13" fillId="30" borderId="66" xfId="0" applyFont="1" applyFill="1" applyBorder="1" applyAlignment="1" applyProtection="1">
      <alignment horizontal="center"/>
      <protection hidden="1"/>
    </xf>
    <xf numFmtId="3" fontId="11" fillId="30" borderId="89" xfId="0" applyNumberFormat="1" applyFont="1" applyFill="1" applyBorder="1" applyAlignment="1" applyProtection="1">
      <alignment horizontal="center" vertical="center"/>
      <protection hidden="1"/>
    </xf>
    <xf numFmtId="0" fontId="11" fillId="10" borderId="103" xfId="0" applyFont="1" applyFill="1" applyBorder="1" applyProtection="1">
      <protection hidden="1"/>
    </xf>
    <xf numFmtId="0" fontId="13" fillId="27" borderId="51" xfId="0" applyFont="1" applyFill="1" applyBorder="1" applyAlignment="1" applyProtection="1">
      <alignment horizontal="center" vertical="center"/>
      <protection hidden="1"/>
    </xf>
    <xf numFmtId="3" fontId="11" fillId="29" borderId="109" xfId="0" applyNumberFormat="1" applyFont="1" applyFill="1" applyBorder="1" applyAlignment="1" applyProtection="1">
      <alignment horizontal="center" vertical="center"/>
      <protection hidden="1"/>
    </xf>
    <xf numFmtId="0" fontId="15" fillId="15" borderId="71" xfId="0" applyFont="1" applyFill="1" applyBorder="1" applyAlignment="1" applyProtection="1">
      <alignment horizontal="right" vertical="center"/>
      <protection hidden="1"/>
    </xf>
    <xf numFmtId="0" fontId="15" fillId="15" borderId="72" xfId="0" applyNumberFormat="1" applyFont="1" applyFill="1" applyBorder="1" applyAlignment="1" applyProtection="1">
      <alignment horizontal="left" vertical="center"/>
      <protection hidden="1"/>
    </xf>
    <xf numFmtId="0" fontId="0" fillId="0" borderId="0" xfId="0" applyAlignment="1">
      <alignment wrapText="1"/>
    </xf>
    <xf numFmtId="0" fontId="0" fillId="13" borderId="55" xfId="0" applyNumberFormat="1" applyFill="1" applyBorder="1" applyAlignment="1" applyProtection="1">
      <alignment horizontal="center" vertical="center"/>
      <protection locked="0"/>
    </xf>
    <xf numFmtId="0" fontId="0" fillId="13" borderId="50" xfId="0" applyNumberFormat="1" applyFill="1" applyBorder="1" applyAlignment="1" applyProtection="1">
      <alignment horizontal="center" vertical="center"/>
      <protection locked="0"/>
    </xf>
    <xf numFmtId="0" fontId="0" fillId="13" borderId="51" xfId="0" applyNumberFormat="1" applyFill="1" applyBorder="1" applyAlignment="1" applyProtection="1">
      <alignment horizontal="center" vertical="center"/>
      <protection locked="0"/>
    </xf>
    <xf numFmtId="0" fontId="0" fillId="13" borderId="56" xfId="0" applyNumberFormat="1" applyFill="1" applyBorder="1" applyAlignment="1" applyProtection="1">
      <alignment horizontal="center" vertical="center"/>
      <protection locked="0"/>
    </xf>
    <xf numFmtId="0" fontId="0" fillId="13" borderId="2" xfId="0" applyNumberFormat="1" applyFill="1" applyBorder="1" applyAlignment="1" applyProtection="1">
      <alignment horizontal="center" vertical="center"/>
      <protection locked="0"/>
    </xf>
    <xf numFmtId="0" fontId="0" fillId="13" borderId="7" xfId="0" applyNumberFormat="1" applyFill="1" applyBorder="1" applyAlignment="1" applyProtection="1">
      <alignment horizontal="center" vertical="center"/>
      <protection locked="0"/>
    </xf>
    <xf numFmtId="0" fontId="0" fillId="13" borderId="57" xfId="0" applyNumberFormat="1" applyFill="1" applyBorder="1" applyAlignment="1" applyProtection="1">
      <alignment horizontal="center" vertical="center"/>
      <protection locked="0"/>
    </xf>
    <xf numFmtId="0" fontId="0" fillId="13" borderId="48" xfId="0" applyNumberFormat="1" applyFill="1" applyBorder="1" applyAlignment="1" applyProtection="1">
      <alignment horizontal="center" vertical="center"/>
      <protection locked="0"/>
    </xf>
    <xf numFmtId="0" fontId="0" fillId="13" borderId="47" xfId="0" applyNumberFormat="1" applyFill="1" applyBorder="1" applyAlignment="1" applyProtection="1">
      <alignment horizontal="center" vertical="center"/>
      <protection locked="0"/>
    </xf>
    <xf numFmtId="3" fontId="11" fillId="0" borderId="55" xfId="0" applyNumberFormat="1" applyFont="1" applyFill="1" applyBorder="1" applyAlignment="1" applyProtection="1">
      <alignment horizontal="center" vertical="center"/>
    </xf>
    <xf numFmtId="3" fontId="11" fillId="0" borderId="50" xfId="0" applyNumberFormat="1" applyFont="1" applyFill="1" applyBorder="1" applyAlignment="1" applyProtection="1">
      <alignment horizontal="center" vertical="center"/>
    </xf>
    <xf numFmtId="3" fontId="11" fillId="0" borderId="52" xfId="0" applyNumberFormat="1" applyFont="1" applyFill="1" applyBorder="1" applyAlignment="1" applyProtection="1">
      <alignment horizontal="center" vertical="center"/>
    </xf>
    <xf numFmtId="3" fontId="11" fillId="0" borderId="56" xfId="0" applyNumberFormat="1" applyFont="1" applyFill="1" applyBorder="1" applyAlignment="1" applyProtection="1">
      <alignment horizontal="center" vertical="center"/>
    </xf>
    <xf numFmtId="3" fontId="11" fillId="0" borderId="2" xfId="0" applyNumberFormat="1" applyFont="1" applyFill="1" applyBorder="1" applyAlignment="1" applyProtection="1">
      <alignment horizontal="center" vertical="center"/>
    </xf>
    <xf numFmtId="3" fontId="11" fillId="0" borderId="53" xfId="0" applyNumberFormat="1" applyFont="1" applyFill="1" applyBorder="1" applyAlignment="1" applyProtection="1">
      <alignment horizontal="center" vertical="center"/>
    </xf>
    <xf numFmtId="3" fontId="11" fillId="0" borderId="57" xfId="0" applyNumberFormat="1" applyFont="1" applyFill="1" applyBorder="1" applyAlignment="1" applyProtection="1">
      <alignment horizontal="center" vertical="center"/>
    </xf>
    <xf numFmtId="3" fontId="11" fillId="0" borderId="48" xfId="0" applyNumberFormat="1" applyFont="1" applyFill="1" applyBorder="1" applyAlignment="1" applyProtection="1">
      <alignment horizontal="center" vertical="center"/>
    </xf>
    <xf numFmtId="3" fontId="11" fillId="0" borderId="54" xfId="0" applyNumberFormat="1" applyFont="1" applyFill="1" applyBorder="1" applyAlignment="1" applyProtection="1">
      <alignment horizontal="center" vertical="center"/>
    </xf>
    <xf numFmtId="0" fontId="13" fillId="10" borderId="100" xfId="7" applyNumberFormat="1" applyFont="1" applyFill="1" applyBorder="1" applyAlignment="1" applyProtection="1">
      <alignment horizontal="center" vertical="center"/>
      <protection locked="0"/>
    </xf>
    <xf numFmtId="0" fontId="13" fillId="10" borderId="101" xfId="7" applyNumberFormat="1" applyFont="1" applyFill="1" applyBorder="1" applyAlignment="1" applyProtection="1">
      <alignment horizontal="center" vertical="center"/>
      <protection locked="0"/>
    </xf>
    <xf numFmtId="0" fontId="13" fillId="10" borderId="62" xfId="7" applyNumberFormat="1" applyFont="1" applyFill="1" applyBorder="1" applyAlignment="1" applyProtection="1">
      <alignment horizontal="center" vertical="center"/>
      <protection locked="0"/>
    </xf>
    <xf numFmtId="0" fontId="13" fillId="10" borderId="63" xfId="7" applyNumberFormat="1" applyFont="1" applyFill="1" applyBorder="1" applyAlignment="1" applyProtection="1">
      <alignment horizontal="center" vertical="center"/>
      <protection locked="0"/>
    </xf>
    <xf numFmtId="1" fontId="3" fillId="0" borderId="0" xfId="0" applyNumberFormat="1" applyFont="1" applyProtection="1">
      <protection locked="0"/>
    </xf>
    <xf numFmtId="0" fontId="24" fillId="0" borderId="0" xfId="0" applyFont="1" applyAlignment="1" applyProtection="1">
      <alignment horizontal="center" vertical="center"/>
      <protection locked="0"/>
    </xf>
    <xf numFmtId="0" fontId="3" fillId="0" borderId="125" xfId="0" applyFont="1" applyBorder="1" applyProtection="1">
      <protection locked="0"/>
    </xf>
    <xf numFmtId="0" fontId="12" fillId="0" borderId="0" xfId="0" applyFont="1" applyProtection="1"/>
    <xf numFmtId="0" fontId="11" fillId="0" borderId="30" xfId="0" applyNumberFormat="1" applyFont="1" applyFill="1" applyBorder="1" applyProtection="1"/>
    <xf numFmtId="0" fontId="13" fillId="32" borderId="104" xfId="0" applyNumberFormat="1" applyFont="1" applyFill="1" applyBorder="1" applyAlignment="1" applyProtection="1">
      <alignment horizontal="center" vertical="center"/>
      <protection hidden="1"/>
    </xf>
    <xf numFmtId="0" fontId="13" fillId="32" borderId="86" xfId="0" applyNumberFormat="1" applyFont="1" applyFill="1" applyBorder="1" applyAlignment="1" applyProtection="1">
      <alignment horizontal="center" vertical="center"/>
      <protection hidden="1"/>
    </xf>
    <xf numFmtId="0" fontId="13" fillId="33" borderId="106" xfId="0" applyFont="1" applyFill="1" applyBorder="1" applyAlignment="1" applyProtection="1">
      <alignment horizontal="center" vertical="center"/>
      <protection hidden="1"/>
    </xf>
    <xf numFmtId="0" fontId="13" fillId="33" borderId="107" xfId="0" applyFont="1" applyFill="1" applyBorder="1" applyAlignment="1" applyProtection="1">
      <alignment horizontal="center" vertical="center"/>
      <protection hidden="1"/>
    </xf>
    <xf numFmtId="0" fontId="13" fillId="33" borderId="85" xfId="0" applyFont="1" applyFill="1" applyBorder="1" applyAlignment="1" applyProtection="1">
      <alignment horizontal="center" vertical="center"/>
      <protection hidden="1"/>
    </xf>
    <xf numFmtId="0" fontId="13" fillId="33" borderId="108" xfId="0" applyFont="1" applyFill="1" applyBorder="1" applyAlignment="1" applyProtection="1">
      <alignment horizontal="center" vertical="center"/>
      <protection hidden="1"/>
    </xf>
    <xf numFmtId="3" fontId="21" fillId="34" borderId="99" xfId="0" applyNumberFormat="1" applyFont="1" applyFill="1" applyBorder="1" applyAlignment="1" applyProtection="1">
      <alignment horizontal="center" vertical="center"/>
    </xf>
    <xf numFmtId="0" fontId="12" fillId="0" borderId="0" xfId="0" applyFont="1" applyAlignment="1" applyProtection="1">
      <alignment horizontal="right" wrapText="1"/>
      <protection locked="0"/>
    </xf>
    <xf numFmtId="0" fontId="12" fillId="0" borderId="0" xfId="0" applyFont="1" applyAlignment="1" applyProtection="1">
      <alignment wrapText="1"/>
      <protection locked="0"/>
    </xf>
    <xf numFmtId="1" fontId="12" fillId="0" borderId="0" xfId="0" applyNumberFormat="1" applyFont="1" applyFill="1" applyBorder="1" applyProtection="1">
      <protection locked="0"/>
    </xf>
    <xf numFmtId="0" fontId="6" fillId="0" borderId="0" xfId="0" applyFont="1"/>
    <xf numFmtId="0" fontId="12" fillId="0" borderId="0" xfId="0" applyFont="1" applyFill="1" applyAlignment="1" applyProtection="1">
      <alignment horizontal="right"/>
      <protection locked="0"/>
    </xf>
    <xf numFmtId="1" fontId="12" fillId="0" borderId="0" xfId="0" applyNumberFormat="1" applyFont="1" applyFill="1" applyAlignment="1" applyProtection="1">
      <alignment horizontal="right"/>
      <protection locked="0"/>
    </xf>
    <xf numFmtId="1" fontId="12" fillId="0" borderId="0" xfId="0" applyNumberFormat="1" applyFont="1" applyFill="1" applyProtection="1">
      <protection locked="0"/>
    </xf>
    <xf numFmtId="0" fontId="12" fillId="0" borderId="0" xfId="0" applyFont="1" applyFill="1" applyProtection="1">
      <protection locked="0"/>
    </xf>
    <xf numFmtId="0" fontId="0" fillId="0" borderId="0" xfId="0" applyFont="1" applyProtection="1">
      <protection locked="0"/>
    </xf>
    <xf numFmtId="1" fontId="0" fillId="0" borderId="0" xfId="0" applyNumberFormat="1" applyFont="1" applyAlignment="1" applyProtection="1">
      <alignment horizontal="center"/>
      <protection locked="0"/>
    </xf>
    <xf numFmtId="0" fontId="6" fillId="4" borderId="0" xfId="4" applyAlignment="1">
      <alignment horizontal="center" vertical="center" wrapText="1"/>
    </xf>
    <xf numFmtId="0" fontId="2" fillId="0" borderId="0" xfId="0" applyFont="1"/>
    <xf numFmtId="0" fontId="37" fillId="0" borderId="0" xfId="0" applyFont="1"/>
    <xf numFmtId="0" fontId="0" fillId="0" borderId="126" xfId="0" applyBorder="1"/>
    <xf numFmtId="0" fontId="0" fillId="37" borderId="12" xfId="0" applyFill="1" applyBorder="1"/>
    <xf numFmtId="166" fontId="0" fillId="37" borderId="130" xfId="0" applyNumberFormat="1" applyFill="1" applyBorder="1" applyAlignment="1">
      <alignment horizontal="center"/>
    </xf>
    <xf numFmtId="168" fontId="0" fillId="37" borderId="130" xfId="0" applyNumberFormat="1" applyFill="1" applyBorder="1" applyAlignment="1">
      <alignment horizontal="center"/>
    </xf>
    <xf numFmtId="0" fontId="40" fillId="37" borderId="133" xfId="10" applyFont="1" applyFill="1" applyBorder="1"/>
    <xf numFmtId="0" fontId="3" fillId="37" borderId="134" xfId="10" applyFont="1" applyFill="1" applyBorder="1"/>
    <xf numFmtId="0" fontId="3" fillId="37" borderId="12" xfId="10" applyFont="1" applyFill="1" applyBorder="1"/>
    <xf numFmtId="169" fontId="3" fillId="37" borderId="130" xfId="10" applyNumberFormat="1" applyFont="1" applyFill="1" applyBorder="1"/>
    <xf numFmtId="0" fontId="2" fillId="0" borderId="126" xfId="0" applyFont="1" applyFill="1" applyBorder="1"/>
    <xf numFmtId="0" fontId="3" fillId="35" borderId="12" xfId="9" applyBorder="1"/>
    <xf numFmtId="0" fontId="3" fillId="35" borderId="130" xfId="9" applyBorder="1"/>
    <xf numFmtId="170" fontId="3" fillId="37" borderId="130" xfId="10" applyNumberFormat="1" applyFont="1" applyFill="1" applyBorder="1"/>
    <xf numFmtId="0" fontId="0" fillId="0" borderId="126" xfId="0" applyFill="1" applyBorder="1"/>
    <xf numFmtId="167" fontId="3" fillId="35" borderId="130" xfId="9" applyNumberFormat="1" applyBorder="1"/>
    <xf numFmtId="0" fontId="39" fillId="0" borderId="0" xfId="0" applyFont="1"/>
    <xf numFmtId="167" fontId="3" fillId="37" borderId="132" xfId="10" applyNumberFormat="1" applyFont="1" applyFill="1" applyBorder="1"/>
    <xf numFmtId="0" fontId="3" fillId="0" borderId="126" xfId="9" applyFill="1" applyBorder="1" applyAlignment="1">
      <alignment horizontal="center" vertical="center"/>
    </xf>
    <xf numFmtId="0" fontId="0" fillId="35" borderId="12" xfId="9" applyFont="1" applyBorder="1"/>
    <xf numFmtId="0" fontId="3" fillId="35" borderId="135" xfId="9" applyBorder="1"/>
    <xf numFmtId="167" fontId="3" fillId="35" borderId="136" xfId="9" applyNumberFormat="1" applyBorder="1"/>
    <xf numFmtId="0" fontId="3" fillId="0" borderId="126" xfId="9" applyFill="1" applyBorder="1"/>
    <xf numFmtId="0" fontId="3" fillId="0" borderId="137" xfId="9" applyFill="1" applyBorder="1"/>
    <xf numFmtId="167" fontId="3" fillId="0" borderId="138" xfId="9" applyNumberFormat="1" applyFill="1" applyBorder="1"/>
    <xf numFmtId="0" fontId="2" fillId="35" borderId="12" xfId="9" applyFont="1" applyBorder="1"/>
    <xf numFmtId="167" fontId="2" fillId="35" borderId="130" xfId="9" applyNumberFormat="1" applyFont="1" applyBorder="1"/>
    <xf numFmtId="0" fontId="3" fillId="0" borderId="12" xfId="9" applyFill="1" applyBorder="1"/>
    <xf numFmtId="0" fontId="3" fillId="0" borderId="0" xfId="9" applyFill="1" applyBorder="1"/>
    <xf numFmtId="0" fontId="0" fillId="0" borderId="0" xfId="0" applyBorder="1" applyAlignment="1">
      <alignment horizontal="left" wrapText="1"/>
    </xf>
    <xf numFmtId="172" fontId="0" fillId="0" borderId="0" xfId="0" applyNumberFormat="1" applyBorder="1"/>
    <xf numFmtId="0" fontId="0" fillId="0" borderId="0" xfId="0" quotePrefix="1" applyBorder="1" applyAlignment="1">
      <alignment horizontal="center" vertical="center"/>
    </xf>
    <xf numFmtId="0" fontId="0" fillId="0" borderId="139" xfId="0" applyBorder="1" applyAlignment="1">
      <alignment horizontal="left" wrapText="1"/>
    </xf>
    <xf numFmtId="172" fontId="0" fillId="0" borderId="139" xfId="0" applyNumberFormat="1" applyBorder="1"/>
    <xf numFmtId="172" fontId="0" fillId="0" borderId="0" xfId="0" applyNumberFormat="1" applyFont="1" applyBorder="1"/>
    <xf numFmtId="0" fontId="2" fillId="0" borderId="0" xfId="0" applyFont="1" applyBorder="1" applyAlignment="1">
      <alignment horizontal="left" wrapText="1"/>
    </xf>
    <xf numFmtId="172" fontId="37" fillId="0" borderId="0" xfId="0" applyNumberFormat="1" applyFont="1" applyBorder="1"/>
    <xf numFmtId="8" fontId="0" fillId="0" borderId="0" xfId="0" applyNumberFormat="1" applyBorder="1"/>
    <xf numFmtId="173" fontId="0" fillId="0" borderId="0" xfId="0" applyNumberFormat="1" applyBorder="1"/>
    <xf numFmtId="172" fontId="2" fillId="0" borderId="0" xfId="0" applyNumberFormat="1" applyFont="1" applyBorder="1"/>
    <xf numFmtId="166" fontId="0" fillId="0" borderId="0" xfId="0" applyNumberFormat="1"/>
    <xf numFmtId="174" fontId="0" fillId="0" borderId="0" xfId="0" applyNumberFormat="1"/>
    <xf numFmtId="0" fontId="0" fillId="0" borderId="140" xfId="0" applyBorder="1"/>
    <xf numFmtId="174" fontId="0" fillId="0" borderId="140" xfId="0" applyNumberFormat="1" applyBorder="1"/>
    <xf numFmtId="168" fontId="0" fillId="0" borderId="0" xfId="0" applyNumberFormat="1"/>
    <xf numFmtId="175" fontId="0" fillId="0" borderId="0" xfId="0" applyNumberFormat="1"/>
    <xf numFmtId="0" fontId="0" fillId="0" borderId="139" xfId="0" applyBorder="1"/>
    <xf numFmtId="167" fontId="2" fillId="0" borderId="0" xfId="0" applyNumberFormat="1" applyFont="1"/>
    <xf numFmtId="0" fontId="41" fillId="0" borderId="0" xfId="0" applyFont="1"/>
    <xf numFmtId="167" fontId="41" fillId="0" borderId="0" xfId="0" applyNumberFormat="1" applyFont="1"/>
    <xf numFmtId="0" fontId="0" fillId="0" borderId="16" xfId="0" applyBorder="1" applyAlignment="1">
      <alignment horizontal="center" vertical="center"/>
    </xf>
    <xf numFmtId="0" fontId="1" fillId="0" borderId="142" xfId="0" applyFont="1" applyBorder="1" applyProtection="1"/>
    <xf numFmtId="0" fontId="1" fillId="9" borderId="142" xfId="0" applyFont="1" applyFill="1" applyBorder="1" applyAlignment="1" applyProtection="1">
      <alignment horizontal="right" vertical="center"/>
    </xf>
    <xf numFmtId="0" fontId="6" fillId="8" borderId="143" xfId="5" applyFont="1" applyFill="1" applyBorder="1" applyAlignment="1" applyProtection="1">
      <alignment horizontal="right"/>
    </xf>
    <xf numFmtId="0" fontId="5" fillId="0" borderId="70" xfId="3" applyFont="1" applyBorder="1" applyAlignment="1" applyProtection="1">
      <alignment horizontal="right"/>
    </xf>
    <xf numFmtId="0" fontId="5" fillId="0" borderId="0" xfId="3" applyFont="1" applyBorder="1" applyAlignment="1" applyProtection="1">
      <alignment horizontal="right"/>
    </xf>
    <xf numFmtId="0" fontId="1" fillId="0" borderId="0" xfId="0" applyFont="1" applyBorder="1" applyAlignment="1" applyProtection="1"/>
    <xf numFmtId="0" fontId="6" fillId="4" borderId="0" xfId="4" applyBorder="1" applyAlignment="1" applyProtection="1">
      <alignment horizontal="right"/>
    </xf>
    <xf numFmtId="0" fontId="6" fillId="4" borderId="0" xfId="4" applyFont="1" applyBorder="1" applyAlignment="1" applyProtection="1">
      <alignment horizontal="right"/>
    </xf>
    <xf numFmtId="0" fontId="6" fillId="4" borderId="71" xfId="4" applyFont="1" applyBorder="1" applyAlignment="1" applyProtection="1">
      <alignment horizontal="right"/>
    </xf>
    <xf numFmtId="0" fontId="0" fillId="0" borderId="0" xfId="0" applyFill="1" applyBorder="1"/>
    <xf numFmtId="0" fontId="2" fillId="0" borderId="141" xfId="0" applyFont="1" applyFill="1" applyBorder="1" applyAlignment="1">
      <alignment horizontal="center" vertical="center" wrapText="1"/>
    </xf>
    <xf numFmtId="1" fontId="0" fillId="0" borderId="3" xfId="0" applyNumberFormat="1" applyBorder="1" applyAlignment="1">
      <alignment horizontal="center"/>
    </xf>
    <xf numFmtId="1" fontId="0" fillId="0" borderId="6" xfId="0" applyNumberFormat="1" applyBorder="1" applyAlignment="1">
      <alignment horizontal="center"/>
    </xf>
    <xf numFmtId="0" fontId="0" fillId="38" borderId="0" xfId="0" applyFill="1" applyBorder="1"/>
    <xf numFmtId="0" fontId="0" fillId="38" borderId="127" xfId="0" applyFill="1" applyBorder="1"/>
    <xf numFmtId="0" fontId="0" fillId="38" borderId="129" xfId="0" applyFill="1" applyBorder="1"/>
    <xf numFmtId="166" fontId="0" fillId="38" borderId="128" xfId="0" applyNumberFormat="1" applyFill="1" applyBorder="1"/>
    <xf numFmtId="0" fontId="0" fillId="38" borderId="12" xfId="0" applyFill="1" applyBorder="1"/>
    <xf numFmtId="166" fontId="0" fillId="38" borderId="130" xfId="0" applyNumberFormat="1" applyFill="1" applyBorder="1"/>
    <xf numFmtId="0" fontId="38" fillId="0" borderId="0" xfId="0" applyFont="1" applyBorder="1"/>
    <xf numFmtId="1" fontId="0" fillId="37" borderId="130" xfId="0" applyNumberFormat="1" applyFill="1" applyBorder="1" applyAlignment="1">
      <alignment horizontal="center"/>
    </xf>
    <xf numFmtId="1" fontId="12" fillId="0" borderId="0" xfId="0" applyNumberFormat="1" applyFont="1" applyProtection="1">
      <protection locked="0"/>
    </xf>
    <xf numFmtId="0" fontId="0" fillId="33" borderId="12" xfId="0" applyFont="1" applyFill="1" applyBorder="1"/>
    <xf numFmtId="0" fontId="0" fillId="0" borderId="0" xfId="0" applyAlignment="1">
      <alignment horizontal="right"/>
    </xf>
    <xf numFmtId="169" fontId="0" fillId="37" borderId="130" xfId="0" applyNumberFormat="1" applyFill="1" applyBorder="1" applyAlignment="1">
      <alignment horizontal="center"/>
    </xf>
    <xf numFmtId="169" fontId="0" fillId="37" borderId="146" xfId="0" applyNumberFormat="1" applyFill="1" applyBorder="1" applyAlignment="1">
      <alignment horizontal="center"/>
    </xf>
    <xf numFmtId="0" fontId="0" fillId="37" borderId="12" xfId="10" applyFont="1" applyFill="1" applyBorder="1"/>
    <xf numFmtId="0" fontId="0" fillId="37" borderId="131" xfId="10" applyFont="1" applyFill="1" applyBorder="1"/>
    <xf numFmtId="167" fontId="3" fillId="37" borderId="130" xfId="10" applyNumberFormat="1" applyFont="1" applyFill="1" applyBorder="1"/>
    <xf numFmtId="0" fontId="36" fillId="33" borderId="127" xfId="0" applyFont="1" applyFill="1" applyBorder="1"/>
    <xf numFmtId="0" fontId="0" fillId="33" borderId="128" xfId="0" applyFont="1" applyFill="1" applyBorder="1"/>
    <xf numFmtId="178" fontId="0" fillId="33" borderId="130" xfId="0" applyNumberFormat="1" applyFont="1" applyFill="1" applyBorder="1"/>
    <xf numFmtId="0" fontId="37" fillId="0" borderId="0" xfId="0" applyFont="1" applyFill="1" applyBorder="1"/>
    <xf numFmtId="178" fontId="0" fillId="33" borderId="145" xfId="0" applyNumberFormat="1" applyFont="1" applyFill="1" applyBorder="1"/>
    <xf numFmtId="167" fontId="0" fillId="0" borderId="0" xfId="0" applyNumberFormat="1"/>
    <xf numFmtId="0" fontId="44" fillId="39" borderId="127" xfId="0" applyFont="1" applyFill="1" applyBorder="1"/>
    <xf numFmtId="0" fontId="45" fillId="39" borderId="128" xfId="0" applyFont="1" applyFill="1" applyBorder="1"/>
    <xf numFmtId="0" fontId="45" fillId="39" borderId="12" xfId="0" applyFont="1" applyFill="1" applyBorder="1"/>
    <xf numFmtId="167" fontId="45" fillId="39" borderId="130" xfId="0" applyNumberFormat="1" applyFont="1" applyFill="1" applyBorder="1"/>
    <xf numFmtId="0" fontId="45" fillId="39" borderId="135" xfId="0" applyFont="1" applyFill="1" applyBorder="1"/>
    <xf numFmtId="167" fontId="45" fillId="39" borderId="136" xfId="0" applyNumberFormat="1" applyFont="1" applyFill="1" applyBorder="1"/>
    <xf numFmtId="0" fontId="34" fillId="39" borderId="12" xfId="0" applyFont="1" applyFill="1" applyBorder="1"/>
    <xf numFmtId="167" fontId="34" fillId="39" borderId="130" xfId="0" applyNumberFormat="1" applyFont="1" applyFill="1" applyBorder="1"/>
    <xf numFmtId="0" fontId="34" fillId="39" borderId="131" xfId="0" applyFont="1" applyFill="1" applyBorder="1"/>
    <xf numFmtId="164" fontId="34" fillId="39" borderId="132" xfId="7" applyNumberFormat="1" applyFont="1" applyFill="1" applyBorder="1"/>
    <xf numFmtId="177" fontId="0" fillId="0" borderId="0" xfId="0" applyNumberFormat="1"/>
    <xf numFmtId="0" fontId="2" fillId="0" borderId="129" xfId="0" applyFont="1" applyFill="1" applyBorder="1"/>
    <xf numFmtId="167" fontId="2" fillId="0" borderId="129" xfId="0" applyNumberFormat="1" applyFont="1" applyFill="1" applyBorder="1"/>
    <xf numFmtId="3" fontId="0" fillId="0" borderId="0" xfId="0" quotePrefix="1" applyNumberFormat="1"/>
    <xf numFmtId="9" fontId="0" fillId="37" borderId="130" xfId="7" applyFont="1" applyFill="1" applyBorder="1" applyAlignment="1">
      <alignment horizontal="center"/>
    </xf>
    <xf numFmtId="166" fontId="39" fillId="0" borderId="0" xfId="0" applyNumberFormat="1" applyFont="1"/>
    <xf numFmtId="0" fontId="36" fillId="0" borderId="0" xfId="0" applyFont="1" applyAlignment="1">
      <alignment horizontal="right"/>
    </xf>
    <xf numFmtId="0" fontId="36" fillId="33" borderId="144" xfId="0" applyFont="1" applyFill="1" applyBorder="1"/>
    <xf numFmtId="173" fontId="0" fillId="33" borderId="130" xfId="0" applyNumberFormat="1" applyFont="1" applyFill="1" applyBorder="1"/>
    <xf numFmtId="180" fontId="0" fillId="33" borderId="130" xfId="0" applyNumberFormat="1" applyFont="1" applyFill="1" applyBorder="1"/>
    <xf numFmtId="179" fontId="0" fillId="0" borderId="0" xfId="0" applyNumberFormat="1" applyFill="1" applyBorder="1"/>
    <xf numFmtId="176" fontId="0" fillId="0" borderId="0" xfId="0" applyNumberFormat="1" applyFill="1" applyBorder="1"/>
    <xf numFmtId="3" fontId="0" fillId="0" borderId="0" xfId="0" applyNumberFormat="1" applyAlignment="1">
      <alignment horizontal="right"/>
    </xf>
    <xf numFmtId="0" fontId="38" fillId="0" borderId="0" xfId="0" applyFont="1" applyBorder="1" applyAlignment="1">
      <alignment horizontal="center"/>
    </xf>
    <xf numFmtId="6" fontId="3" fillId="35" borderId="130" xfId="9" applyNumberFormat="1" applyBorder="1"/>
    <xf numFmtId="0" fontId="0" fillId="37" borderId="0" xfId="0" applyFill="1"/>
    <xf numFmtId="1" fontId="0" fillId="37" borderId="0" xfId="0" applyNumberFormat="1" applyFill="1"/>
    <xf numFmtId="1" fontId="0" fillId="0" borderId="0" xfId="0" applyNumberFormat="1" applyFill="1"/>
    <xf numFmtId="0" fontId="0" fillId="33" borderId="148" xfId="0" applyFill="1" applyBorder="1"/>
    <xf numFmtId="9" fontId="0" fillId="33" borderId="149" xfId="0" applyNumberFormat="1" applyFill="1" applyBorder="1"/>
    <xf numFmtId="9" fontId="0" fillId="37" borderId="130" xfId="0" applyNumberFormat="1" applyFill="1" applyBorder="1"/>
    <xf numFmtId="3" fontId="39" fillId="0" borderId="0" xfId="0" applyNumberFormat="1" applyFont="1"/>
    <xf numFmtId="0" fontId="39" fillId="0" borderId="0" xfId="0" applyFont="1" applyAlignment="1">
      <alignment horizontal="right"/>
    </xf>
    <xf numFmtId="0" fontId="36" fillId="0" borderId="0" xfId="0" applyFont="1" applyAlignment="1"/>
    <xf numFmtId="3" fontId="0" fillId="0" borderId="0" xfId="0" applyNumberFormat="1" applyAlignment="1">
      <alignment horizontal="left"/>
    </xf>
    <xf numFmtId="0" fontId="2" fillId="0" borderId="0" xfId="0" applyFont="1" applyAlignment="1">
      <alignment horizontal="center"/>
    </xf>
    <xf numFmtId="0" fontId="0" fillId="0" borderId="150" xfId="0" applyBorder="1"/>
    <xf numFmtId="0" fontId="2" fillId="0" borderId="140" xfId="0" applyFont="1" applyBorder="1"/>
    <xf numFmtId="0" fontId="2" fillId="0" borderId="0" xfId="0" applyFont="1" applyBorder="1"/>
    <xf numFmtId="0" fontId="46" fillId="0" borderId="0" xfId="0" applyFont="1"/>
    <xf numFmtId="0" fontId="43" fillId="0" borderId="0" xfId="0" applyFont="1"/>
    <xf numFmtId="0" fontId="36" fillId="0" borderId="0" xfId="0" applyFont="1"/>
    <xf numFmtId="0" fontId="0" fillId="0" borderId="153" xfId="0" applyBorder="1"/>
    <xf numFmtId="3" fontId="0" fillId="0" borderId="0" xfId="0" applyNumberFormat="1"/>
    <xf numFmtId="0" fontId="36" fillId="37" borderId="127" xfId="0" applyFont="1" applyFill="1" applyBorder="1"/>
    <xf numFmtId="0" fontId="0" fillId="37" borderId="129" xfId="0" applyFill="1" applyBorder="1"/>
    <xf numFmtId="0" fontId="0" fillId="37" borderId="128" xfId="0" applyFill="1" applyBorder="1"/>
    <xf numFmtId="0" fontId="42" fillId="37" borderId="12" xfId="0" applyFont="1" applyFill="1" applyBorder="1"/>
    <xf numFmtId="0" fontId="0" fillId="37" borderId="0" xfId="0" applyFill="1" applyBorder="1"/>
    <xf numFmtId="0" fontId="0" fillId="37" borderId="130" xfId="0" applyFill="1" applyBorder="1"/>
    <xf numFmtId="179" fontId="0" fillId="37" borderId="0" xfId="0" applyNumberFormat="1" applyFill="1" applyBorder="1"/>
    <xf numFmtId="0" fontId="43" fillId="37" borderId="0" xfId="0" applyFont="1" applyFill="1" applyBorder="1"/>
    <xf numFmtId="176" fontId="0" fillId="37" borderId="0" xfId="0" applyNumberFormat="1" applyFill="1" applyBorder="1"/>
    <xf numFmtId="0" fontId="42" fillId="37" borderId="133" xfId="0" applyFont="1" applyFill="1" applyBorder="1"/>
    <xf numFmtId="0" fontId="0" fillId="37" borderId="147" xfId="0" applyFill="1" applyBorder="1"/>
    <xf numFmtId="0" fontId="0" fillId="37" borderId="134" xfId="0" applyFill="1" applyBorder="1"/>
    <xf numFmtId="0" fontId="39" fillId="37" borderId="0" xfId="0" applyFont="1" applyFill="1" applyBorder="1"/>
    <xf numFmtId="0" fontId="0" fillId="37" borderId="154" xfId="0" applyFill="1" applyBorder="1"/>
    <xf numFmtId="176" fontId="0" fillId="37" borderId="155" xfId="0" applyNumberFormat="1" applyFill="1" applyBorder="1"/>
    <xf numFmtId="0" fontId="0" fillId="37" borderId="156" xfId="0" applyFill="1" applyBorder="1"/>
    <xf numFmtId="0" fontId="0" fillId="37" borderId="131" xfId="0" applyFill="1" applyBorder="1"/>
    <xf numFmtId="176" fontId="0" fillId="37" borderId="30" xfId="0" applyNumberFormat="1" applyFill="1" applyBorder="1"/>
    <xf numFmtId="0" fontId="0" fillId="37" borderId="30" xfId="0" applyFill="1" applyBorder="1"/>
    <xf numFmtId="0" fontId="0" fillId="37" borderId="132" xfId="0" applyFill="1" applyBorder="1"/>
    <xf numFmtId="0" fontId="47" fillId="0" borderId="0" xfId="0" applyFont="1" applyAlignment="1">
      <alignment horizontal="center"/>
    </xf>
    <xf numFmtId="9" fontId="0" fillId="0" borderId="0" xfId="0" applyNumberFormat="1"/>
    <xf numFmtId="6" fontId="0" fillId="0" borderId="0" xfId="0" applyNumberFormat="1"/>
    <xf numFmtId="0" fontId="48" fillId="0" borderId="0" xfId="0" applyFont="1"/>
    <xf numFmtId="0" fontId="0" fillId="0" borderId="151" xfId="0" applyBorder="1"/>
    <xf numFmtId="0" fontId="0" fillId="0" borderId="152" xfId="0" applyBorder="1"/>
    <xf numFmtId="0" fontId="0" fillId="0" borderId="58" xfId="0" applyBorder="1"/>
    <xf numFmtId="0" fontId="0" fillId="6" borderId="0" xfId="0" applyFill="1" applyBorder="1"/>
    <xf numFmtId="0" fontId="2" fillId="10" borderId="158" xfId="0" applyFont="1" applyFill="1" applyBorder="1" applyAlignment="1">
      <alignment horizontal="center"/>
    </xf>
    <xf numFmtId="0" fontId="2" fillId="10" borderId="159" xfId="0" applyFont="1" applyFill="1" applyBorder="1" applyAlignment="1">
      <alignment horizontal="center"/>
    </xf>
    <xf numFmtId="0" fontId="0" fillId="37" borderId="130" xfId="0" applyFill="1" applyBorder="1" applyAlignment="1">
      <alignment horizontal="center"/>
    </xf>
    <xf numFmtId="0" fontId="38" fillId="37" borderId="12" xfId="0" applyFont="1" applyFill="1" applyBorder="1"/>
    <xf numFmtId="0" fontId="0" fillId="37" borderId="160" xfId="0" applyFill="1" applyBorder="1"/>
    <xf numFmtId="0" fontId="0" fillId="37" borderId="146" xfId="0" applyFill="1" applyBorder="1" applyAlignment="1">
      <alignment horizontal="center"/>
    </xf>
    <xf numFmtId="0" fontId="0" fillId="0" borderId="129" xfId="0" applyBorder="1"/>
    <xf numFmtId="0" fontId="38" fillId="37" borderId="129" xfId="0" applyFont="1" applyFill="1" applyBorder="1"/>
    <xf numFmtId="0" fontId="0" fillId="6" borderId="12" xfId="0" applyFill="1" applyBorder="1"/>
    <xf numFmtId="179" fontId="0" fillId="6" borderId="0" xfId="0" applyNumberFormat="1" applyFill="1" applyBorder="1"/>
    <xf numFmtId="0" fontId="0" fillId="6" borderId="130" xfId="0" applyFill="1" applyBorder="1"/>
    <xf numFmtId="0" fontId="0" fillId="0" borderId="30" xfId="0" applyFont="1" applyFill="1" applyBorder="1"/>
    <xf numFmtId="180" fontId="0" fillId="0" borderId="30" xfId="0" applyNumberFormat="1" applyFont="1" applyFill="1" applyBorder="1"/>
    <xf numFmtId="0" fontId="39" fillId="6" borderId="0" xfId="0" applyFont="1" applyFill="1" applyBorder="1"/>
    <xf numFmtId="176" fontId="0" fillId="6" borderId="0" xfId="0" applyNumberFormat="1" applyFill="1" applyBorder="1"/>
    <xf numFmtId="0" fontId="39" fillId="37" borderId="30" xfId="0" applyFont="1" applyFill="1" applyBorder="1"/>
    <xf numFmtId="0" fontId="42" fillId="0" borderId="0" xfId="0" applyFont="1" applyFill="1" applyBorder="1"/>
    <xf numFmtId="0" fontId="39" fillId="0" borderId="0" xfId="0" applyFont="1" applyFill="1" applyBorder="1"/>
    <xf numFmtId="0" fontId="39" fillId="37" borderId="155" xfId="0" applyFont="1" applyFill="1" applyBorder="1"/>
    <xf numFmtId="9" fontId="0" fillId="0" borderId="0" xfId="7" applyFont="1"/>
    <xf numFmtId="167" fontId="0" fillId="38" borderId="130" xfId="0" applyNumberFormat="1" applyFill="1" applyBorder="1"/>
    <xf numFmtId="0" fontId="2" fillId="38" borderId="131" xfId="0" applyFont="1" applyFill="1" applyBorder="1"/>
    <xf numFmtId="0" fontId="0" fillId="38" borderId="30" xfId="0" applyFill="1" applyBorder="1"/>
    <xf numFmtId="167" fontId="2" fillId="38" borderId="132" xfId="8" applyNumberFormat="1" applyFont="1" applyFill="1" applyBorder="1"/>
    <xf numFmtId="0" fontId="2" fillId="35" borderId="131" xfId="9" applyFont="1" applyBorder="1"/>
    <xf numFmtId="171" fontId="2" fillId="35" borderId="132" xfId="9" applyNumberFormat="1" applyFont="1" applyBorder="1"/>
    <xf numFmtId="0" fontId="0" fillId="0" borderId="0" xfId="0" applyProtection="1">
      <protection locked="0"/>
    </xf>
    <xf numFmtId="182" fontId="0" fillId="0" borderId="0" xfId="0" applyNumberFormat="1"/>
    <xf numFmtId="181" fontId="0" fillId="37" borderId="0" xfId="0" applyNumberFormat="1" applyFill="1" applyBorder="1"/>
    <xf numFmtId="181" fontId="0" fillId="6" borderId="0" xfId="0" applyNumberFormat="1" applyFill="1" applyBorder="1"/>
    <xf numFmtId="0" fontId="2" fillId="38" borderId="127" xfId="0" applyFont="1" applyFill="1" applyBorder="1"/>
    <xf numFmtId="0" fontId="0" fillId="38" borderId="128" xfId="0" applyFill="1" applyBorder="1"/>
    <xf numFmtId="0" fontId="39" fillId="38" borderId="161" xfId="0" applyFont="1" applyFill="1" applyBorder="1"/>
    <xf numFmtId="0" fontId="0" fillId="38" borderId="162" xfId="0" applyFill="1" applyBorder="1"/>
    <xf numFmtId="0" fontId="0" fillId="38" borderId="130" xfId="0" applyFill="1" applyBorder="1" applyAlignment="1">
      <alignment horizontal="center"/>
    </xf>
    <xf numFmtId="166" fontId="0" fillId="38" borderId="130" xfId="0" applyNumberFormat="1" applyFill="1" applyBorder="1" applyAlignment="1">
      <alignment horizontal="center"/>
    </xf>
    <xf numFmtId="0" fontId="2" fillId="38" borderId="131" xfId="0" applyFont="1" applyFill="1" applyBorder="1" applyAlignment="1">
      <alignment horizontal="center"/>
    </xf>
    <xf numFmtId="9" fontId="2" fillId="38" borderId="132" xfId="0" applyNumberFormat="1" applyFont="1" applyFill="1" applyBorder="1" applyAlignment="1">
      <alignment horizontal="center"/>
    </xf>
    <xf numFmtId="0" fontId="0" fillId="0" borderId="0" xfId="0" applyFill="1"/>
    <xf numFmtId="0" fontId="2" fillId="0" borderId="0" xfId="0" applyFont="1" applyFill="1" applyBorder="1" applyAlignment="1">
      <alignment horizontal="center"/>
    </xf>
    <xf numFmtId="0" fontId="0" fillId="0" borderId="157" xfId="0" applyBorder="1" applyAlignment="1">
      <alignment horizontal="center"/>
    </xf>
    <xf numFmtId="0" fontId="0" fillId="0" borderId="58" xfId="0" applyBorder="1" applyAlignment="1">
      <alignment horizontal="center"/>
    </xf>
    <xf numFmtId="0" fontId="0" fillId="0" borderId="163" xfId="0" applyBorder="1"/>
    <xf numFmtId="0" fontId="36" fillId="0" borderId="9" xfId="0" applyFont="1" applyBorder="1" applyAlignment="1">
      <alignment horizontal="center"/>
    </xf>
    <xf numFmtId="0" fontId="36" fillId="0" borderId="58" xfId="0" applyFont="1" applyBorder="1" applyAlignment="1">
      <alignment horizontal="center"/>
    </xf>
    <xf numFmtId="177" fontId="0" fillId="0" borderId="126" xfId="0" applyNumberFormat="1" applyBorder="1"/>
    <xf numFmtId="0" fontId="36" fillId="0" borderId="0" xfId="0" applyFont="1" applyBorder="1"/>
    <xf numFmtId="179" fontId="0" fillId="0" borderId="0" xfId="0" applyNumberFormat="1" applyBorder="1"/>
    <xf numFmtId="0" fontId="49" fillId="38" borderId="0" xfId="0" applyFont="1" applyFill="1"/>
    <xf numFmtId="0" fontId="0" fillId="0" borderId="153" xfId="0" applyBorder="1" applyAlignment="1">
      <alignment horizontal="right"/>
    </xf>
    <xf numFmtId="183" fontId="0" fillId="0" borderId="0" xfId="0" applyNumberFormat="1"/>
    <xf numFmtId="176" fontId="0" fillId="0" borderId="0" xfId="0" applyNumberFormat="1"/>
    <xf numFmtId="164" fontId="0" fillId="0" borderId="0" xfId="7" applyNumberFormat="1" applyFont="1"/>
    <xf numFmtId="0" fontId="0" fillId="10" borderId="158" xfId="0" applyFont="1" applyFill="1" applyBorder="1" applyAlignment="1">
      <alignment horizontal="center"/>
    </xf>
    <xf numFmtId="184" fontId="0" fillId="10" borderId="158" xfId="0" applyNumberFormat="1" applyFont="1" applyFill="1" applyBorder="1" applyAlignment="1">
      <alignment horizontal="center"/>
    </xf>
    <xf numFmtId="0" fontId="0" fillId="10" borderId="164" xfId="0" applyFont="1" applyFill="1" applyBorder="1" applyAlignment="1">
      <alignment horizontal="center"/>
    </xf>
    <xf numFmtId="184" fontId="0" fillId="10" borderId="164" xfId="0" applyNumberFormat="1" applyFont="1" applyFill="1" applyBorder="1" applyAlignment="1">
      <alignment horizontal="center"/>
    </xf>
    <xf numFmtId="183" fontId="2" fillId="10" borderId="159" xfId="0" applyNumberFormat="1" applyFont="1" applyFill="1" applyBorder="1" applyAlignment="1">
      <alignment horizontal="center"/>
    </xf>
    <xf numFmtId="1" fontId="0" fillId="10" borderId="158" xfId="0" applyNumberFormat="1" applyFont="1" applyFill="1" applyBorder="1" applyAlignment="1">
      <alignment horizontal="center"/>
    </xf>
    <xf numFmtId="0" fontId="2" fillId="0" borderId="151" xfId="0" applyFont="1" applyBorder="1"/>
    <xf numFmtId="185" fontId="2" fillId="0" borderId="152" xfId="0" applyNumberFormat="1" applyFont="1" applyBorder="1"/>
    <xf numFmtId="1" fontId="2" fillId="10" borderId="158" xfId="0" applyNumberFormat="1" applyFont="1" applyFill="1" applyBorder="1" applyAlignment="1">
      <alignment horizontal="center"/>
    </xf>
    <xf numFmtId="0" fontId="36" fillId="35" borderId="127" xfId="9" applyFont="1" applyBorder="1" applyAlignment="1">
      <alignment horizontal="center" vertical="center"/>
    </xf>
    <xf numFmtId="0" fontId="36" fillId="35" borderId="128" xfId="9" applyFont="1" applyBorder="1" applyAlignment="1">
      <alignment horizontal="center" vertical="center"/>
    </xf>
    <xf numFmtId="1" fontId="24" fillId="0" borderId="121" xfId="0" applyNumberFormat="1" applyFont="1" applyBorder="1" applyAlignment="1" applyProtection="1">
      <alignment horizontal="right" vertical="center"/>
    </xf>
    <xf numFmtId="0" fontId="24" fillId="0" borderId="44" xfId="0" applyFont="1" applyBorder="1" applyAlignment="1">
      <alignment vertical="center"/>
    </xf>
    <xf numFmtId="0" fontId="24" fillId="0" borderId="119" xfId="0" applyFont="1" applyBorder="1" applyAlignment="1">
      <alignment vertical="center"/>
    </xf>
    <xf numFmtId="0" fontId="33" fillId="0" borderId="112" xfId="0" applyFont="1" applyBorder="1" applyAlignment="1" applyProtection="1">
      <alignment horizontal="right" vertical="center"/>
    </xf>
    <xf numFmtId="0" fontId="33" fillId="0" borderId="31" xfId="0" applyFont="1" applyBorder="1" applyAlignment="1">
      <alignment vertical="center"/>
    </xf>
    <xf numFmtId="0" fontId="33" fillId="0" borderId="122" xfId="0" applyFont="1" applyBorder="1" applyAlignment="1">
      <alignment vertical="center"/>
    </xf>
    <xf numFmtId="0" fontId="33" fillId="0" borderId="123" xfId="0" applyFont="1" applyBorder="1" applyAlignment="1" applyProtection="1">
      <alignment horizontal="right" vertical="center"/>
    </xf>
    <xf numFmtId="0" fontId="33" fillId="0" borderId="38" xfId="0" applyFont="1" applyBorder="1" applyAlignment="1" applyProtection="1">
      <alignment horizontal="right" vertical="center"/>
    </xf>
    <xf numFmtId="0" fontId="33" fillId="0" borderId="124" xfId="0" applyFont="1" applyBorder="1" applyAlignment="1">
      <alignment vertical="center"/>
    </xf>
    <xf numFmtId="0" fontId="24" fillId="0" borderId="120" xfId="0" applyFont="1" applyBorder="1" applyAlignment="1" applyProtection="1">
      <alignment horizontal="right" vertical="center"/>
    </xf>
    <xf numFmtId="0" fontId="24" fillId="0" borderId="0" xfId="0" applyFont="1" applyAlignment="1">
      <alignment vertical="center"/>
    </xf>
    <xf numFmtId="0" fontId="24" fillId="0" borderId="118" xfId="0" applyFont="1" applyBorder="1" applyAlignment="1">
      <alignment vertical="center"/>
    </xf>
    <xf numFmtId="0" fontId="16" fillId="11" borderId="77" xfId="0" applyFont="1" applyFill="1" applyBorder="1" applyAlignment="1" applyProtection="1">
      <alignment horizontal="center" vertical="center"/>
      <protection locked="0"/>
    </xf>
    <xf numFmtId="0" fontId="17" fillId="11" borderId="78" xfId="0" applyFont="1" applyFill="1" applyBorder="1" applyAlignment="1">
      <alignment vertical="center"/>
    </xf>
    <xf numFmtId="0" fontId="17" fillId="11" borderId="79" xfId="0" applyFont="1" applyFill="1" applyBorder="1" applyAlignment="1">
      <alignment vertical="center"/>
    </xf>
    <xf numFmtId="0" fontId="12" fillId="12" borderId="80" xfId="0" applyFont="1" applyFill="1" applyBorder="1" applyAlignment="1" applyProtection="1">
      <alignment horizontal="center"/>
    </xf>
    <xf numFmtId="0" fontId="12" fillId="12" borderId="28" xfId="0" applyFont="1" applyFill="1" applyBorder="1" applyAlignment="1" applyProtection="1">
      <alignment horizontal="center"/>
    </xf>
    <xf numFmtId="0" fontId="25" fillId="12" borderId="81" xfId="0" applyFont="1" applyFill="1" applyBorder="1" applyAlignment="1" applyProtection="1">
      <alignment horizontal="right" vertical="center"/>
    </xf>
    <xf numFmtId="0" fontId="25" fillId="12" borderId="71" xfId="0" applyFont="1" applyFill="1" applyBorder="1" applyAlignment="1" applyProtection="1">
      <alignment horizontal="right" vertical="center"/>
    </xf>
    <xf numFmtId="1" fontId="26" fillId="12" borderId="81" xfId="0" applyNumberFormat="1" applyFont="1" applyFill="1" applyBorder="1" applyAlignment="1" applyProtection="1">
      <alignment horizontal="left" vertical="center"/>
      <protection locked="0"/>
    </xf>
    <xf numFmtId="0" fontId="26" fillId="12" borderId="81" xfId="0" applyFont="1" applyFill="1" applyBorder="1" applyAlignment="1" applyProtection="1">
      <alignment horizontal="left" vertical="center"/>
      <protection locked="0"/>
    </xf>
    <xf numFmtId="0" fontId="26" fillId="12" borderId="71" xfId="0" applyFont="1" applyFill="1" applyBorder="1" applyAlignment="1" applyProtection="1">
      <alignment horizontal="left" vertical="center"/>
      <protection locked="0"/>
    </xf>
    <xf numFmtId="0" fontId="26" fillId="12" borderId="81" xfId="0" applyFont="1" applyFill="1" applyBorder="1" applyAlignment="1" applyProtection="1">
      <alignment horizontal="center" vertical="center" wrapText="1"/>
      <protection locked="0"/>
    </xf>
    <xf numFmtId="0" fontId="26" fillId="12" borderId="82" xfId="0" applyFont="1" applyFill="1" applyBorder="1" applyAlignment="1" applyProtection="1">
      <alignment horizontal="center" vertical="center" wrapText="1"/>
      <protection locked="0"/>
    </xf>
    <xf numFmtId="0" fontId="26" fillId="12" borderId="71" xfId="0" applyFont="1" applyFill="1" applyBorder="1" applyAlignment="1" applyProtection="1">
      <alignment horizontal="center" vertical="center" wrapText="1"/>
      <protection locked="0"/>
    </xf>
    <xf numFmtId="0" fontId="26" fillId="12" borderId="72" xfId="0" applyFont="1" applyFill="1" applyBorder="1" applyAlignment="1" applyProtection="1">
      <alignment horizontal="center" vertical="center" wrapText="1"/>
      <protection locked="0"/>
    </xf>
    <xf numFmtId="0" fontId="14" fillId="31" borderId="40" xfId="4" applyFont="1" applyFill="1" applyBorder="1" applyAlignment="1" applyProtection="1">
      <alignment horizontal="center" vertical="top" wrapText="1"/>
    </xf>
    <xf numFmtId="0" fontId="14" fillId="31" borderId="0" xfId="4" applyFont="1" applyFill="1" applyBorder="1" applyAlignment="1" applyProtection="1">
      <alignment horizontal="center" vertical="top" wrapText="1"/>
    </xf>
    <xf numFmtId="0" fontId="14" fillId="31" borderId="35" xfId="4" applyFont="1" applyFill="1" applyBorder="1" applyAlignment="1" applyProtection="1">
      <alignment horizontal="center" vertical="top" wrapText="1"/>
    </xf>
    <xf numFmtId="0" fontId="14" fillId="31" borderId="39" xfId="4" applyFont="1" applyFill="1" applyBorder="1" applyAlignment="1" applyProtection="1">
      <alignment horizontal="center" vertical="top" wrapText="1"/>
    </xf>
    <xf numFmtId="0" fontId="14" fillId="31" borderId="33" xfId="4" applyFont="1" applyFill="1" applyBorder="1" applyAlignment="1" applyProtection="1">
      <alignment horizontal="center" vertical="top" wrapText="1"/>
    </xf>
    <xf numFmtId="0" fontId="14" fillId="31" borderId="34" xfId="4" applyFont="1" applyFill="1" applyBorder="1" applyAlignment="1" applyProtection="1">
      <alignment horizontal="center" vertical="top" wrapText="1"/>
    </xf>
    <xf numFmtId="0" fontId="12" fillId="11" borderId="23" xfId="0" applyFont="1" applyFill="1" applyBorder="1" applyAlignment="1" applyProtection="1">
      <alignment horizontal="center" vertical="center"/>
    </xf>
    <xf numFmtId="0" fontId="12" fillId="11" borderId="25" xfId="0" applyFont="1" applyFill="1" applyBorder="1" applyAlignment="1" applyProtection="1">
      <alignment horizontal="center" vertical="center"/>
    </xf>
    <xf numFmtId="0" fontId="25" fillId="11" borderId="70" xfId="0" applyFont="1" applyFill="1" applyBorder="1" applyAlignment="1" applyProtection="1">
      <alignment horizontal="center" vertical="center"/>
    </xf>
    <xf numFmtId="0" fontId="25" fillId="11" borderId="0" xfId="0" applyFont="1" applyFill="1" applyAlignment="1" applyProtection="1">
      <alignment horizontal="center" vertical="center"/>
    </xf>
    <xf numFmtId="1" fontId="26" fillId="11" borderId="70" xfId="0" applyNumberFormat="1" applyFont="1" applyFill="1" applyBorder="1" applyAlignment="1" applyProtection="1">
      <alignment horizontal="left" vertical="center" shrinkToFit="1"/>
      <protection locked="0"/>
    </xf>
    <xf numFmtId="0" fontId="26" fillId="11" borderId="70" xfId="0" applyFont="1" applyFill="1" applyBorder="1" applyAlignment="1" applyProtection="1">
      <alignment horizontal="left" vertical="center" shrinkToFit="1"/>
      <protection locked="0"/>
    </xf>
    <xf numFmtId="0" fontId="26" fillId="11" borderId="0" xfId="0" applyFont="1" applyFill="1" applyAlignment="1" applyProtection="1">
      <alignment horizontal="left" vertical="center" shrinkToFit="1"/>
      <protection locked="0"/>
    </xf>
    <xf numFmtId="0" fontId="26" fillId="11" borderId="0" xfId="0" applyFont="1" applyFill="1" applyBorder="1" applyAlignment="1" applyProtection="1">
      <alignment horizontal="left" vertical="center" shrinkToFit="1"/>
      <protection locked="0"/>
    </xf>
    <xf numFmtId="0" fontId="25" fillId="11" borderId="70" xfId="0" applyFont="1" applyFill="1" applyBorder="1" applyAlignment="1" applyProtection="1"/>
    <xf numFmtId="0" fontId="25" fillId="11" borderId="0" xfId="0" applyFont="1" applyFill="1" applyAlignment="1" applyProtection="1"/>
    <xf numFmtId="165" fontId="26" fillId="11" borderId="70" xfId="0" applyNumberFormat="1" applyFont="1" applyFill="1" applyBorder="1" applyAlignment="1" applyProtection="1">
      <alignment horizontal="center" vertical="center"/>
      <protection locked="0"/>
    </xf>
    <xf numFmtId="165" fontId="26" fillId="11" borderId="24" xfId="0" applyNumberFormat="1" applyFont="1" applyFill="1" applyBorder="1" applyAlignment="1" applyProtection="1">
      <alignment horizontal="center" vertical="center"/>
      <protection locked="0"/>
    </xf>
    <xf numFmtId="165" fontId="26" fillId="11" borderId="0" xfId="0" applyNumberFormat="1" applyFont="1" applyFill="1" applyAlignment="1" applyProtection="1">
      <alignment horizontal="center" vertical="center"/>
      <protection locked="0"/>
    </xf>
    <xf numFmtId="165" fontId="26" fillId="11" borderId="26" xfId="0" applyNumberFormat="1" applyFont="1" applyFill="1" applyBorder="1" applyAlignment="1" applyProtection="1">
      <alignment horizontal="center" vertical="center"/>
      <protection locked="0"/>
    </xf>
    <xf numFmtId="0" fontId="2" fillId="30" borderId="38" xfId="0" applyFont="1" applyFill="1" applyBorder="1" applyAlignment="1" applyProtection="1">
      <alignment horizontal="center" vertical="center"/>
      <protection hidden="1"/>
    </xf>
    <xf numFmtId="0" fontId="2" fillId="30" borderId="83" xfId="0" applyFont="1" applyFill="1" applyBorder="1" applyAlignment="1" applyProtection="1">
      <alignment horizontal="center" vertical="center"/>
      <protection hidden="1"/>
    </xf>
    <xf numFmtId="0" fontId="0" fillId="0" borderId="70" xfId="0" applyNumberFormat="1" applyBorder="1" applyAlignment="1" applyProtection="1">
      <alignment horizontal="center" wrapText="1"/>
      <protection locked="0"/>
    </xf>
    <xf numFmtId="0" fontId="0" fillId="0" borderId="70" xfId="0" applyBorder="1" applyAlignment="1">
      <alignment wrapText="1"/>
    </xf>
    <xf numFmtId="0" fontId="0" fillId="0" borderId="0" xfId="0" applyAlignment="1">
      <alignment wrapText="1"/>
    </xf>
    <xf numFmtId="0" fontId="32" fillId="0" borderId="70" xfId="6" applyBorder="1" applyAlignment="1" applyProtection="1">
      <alignment horizontal="center" vertical="center"/>
      <protection locked="0"/>
    </xf>
    <xf numFmtId="0" fontId="2" fillId="0" borderId="112" xfId="0" applyFont="1" applyBorder="1" applyAlignment="1" applyProtection="1">
      <alignment horizontal="center" vertical="center"/>
      <protection locked="0"/>
    </xf>
    <xf numFmtId="0" fontId="2" fillId="0" borderId="32" xfId="0" applyFont="1" applyBorder="1" applyAlignment="1">
      <alignment vertical="center"/>
    </xf>
    <xf numFmtId="3" fontId="3" fillId="30" borderId="32" xfId="0" applyNumberFormat="1" applyFont="1" applyFill="1" applyBorder="1" applyAlignment="1" applyProtection="1">
      <alignment horizontal="center" vertical="center"/>
      <protection hidden="1"/>
    </xf>
    <xf numFmtId="0" fontId="0" fillId="30" borderId="84" xfId="0" applyFill="1" applyBorder="1" applyAlignment="1" applyProtection="1">
      <alignment horizontal="center" vertical="center"/>
      <protection hidden="1"/>
    </xf>
    <xf numFmtId="1" fontId="2" fillId="0" borderId="38" xfId="0" applyNumberFormat="1" applyFont="1" applyBorder="1" applyAlignment="1" applyProtection="1">
      <alignment horizontal="center" vertical="center"/>
      <protection hidden="1"/>
    </xf>
    <xf numFmtId="1" fontId="2" fillId="0" borderId="31" xfId="0" applyNumberFormat="1" applyFont="1" applyBorder="1" applyAlignment="1" applyProtection="1">
      <alignment horizontal="center" vertical="center"/>
      <protection hidden="1"/>
    </xf>
    <xf numFmtId="0" fontId="11" fillId="14" borderId="97" xfId="0" applyFont="1" applyFill="1" applyBorder="1" applyAlignment="1" applyProtection="1">
      <alignment horizontal="center" vertical="center"/>
      <protection hidden="1"/>
    </xf>
    <xf numFmtId="0" fontId="11" fillId="14" borderId="98" xfId="0" applyFont="1" applyFill="1" applyBorder="1" applyAlignment="1" applyProtection="1">
      <alignment horizontal="center" vertical="center"/>
      <protection hidden="1"/>
    </xf>
    <xf numFmtId="0" fontId="20" fillId="0" borderId="105" xfId="0" applyFont="1" applyFill="1" applyBorder="1" applyAlignment="1" applyProtection="1">
      <alignment horizontal="center" vertical="center"/>
      <protection hidden="1"/>
    </xf>
    <xf numFmtId="0" fontId="20" fillId="0" borderId="71" xfId="0" applyFont="1" applyFill="1" applyBorder="1" applyAlignment="1" applyProtection="1">
      <alignment horizontal="center" vertical="center"/>
      <protection hidden="1"/>
    </xf>
    <xf numFmtId="3" fontId="2" fillId="0" borderId="83" xfId="0" applyNumberFormat="1" applyFont="1" applyBorder="1" applyAlignment="1" applyProtection="1">
      <alignment horizontal="center" vertical="center"/>
      <protection hidden="1"/>
    </xf>
    <xf numFmtId="1" fontId="3" fillId="0" borderId="71" xfId="0" applyNumberFormat="1" applyFont="1" applyBorder="1" applyAlignment="1" applyProtection="1">
      <alignment horizontal="center" vertical="center"/>
      <protection hidden="1"/>
    </xf>
    <xf numFmtId="3" fontId="2" fillId="0" borderId="71" xfId="0" applyNumberFormat="1" applyFont="1" applyBorder="1" applyAlignment="1" applyProtection="1">
      <alignment horizontal="center" vertical="center"/>
      <protection hidden="1"/>
    </xf>
    <xf numFmtId="0" fontId="13" fillId="0" borderId="110" xfId="0" applyFont="1" applyFill="1" applyBorder="1" applyAlignment="1" applyProtection="1">
      <alignment horizontal="center" vertical="center"/>
      <protection hidden="1"/>
    </xf>
    <xf numFmtId="0" fontId="0" fillId="0" borderId="102" xfId="0" applyBorder="1" applyAlignment="1">
      <alignment horizontal="center" vertical="center"/>
    </xf>
    <xf numFmtId="3" fontId="13" fillId="0" borderId="111" xfId="0" applyNumberFormat="1" applyFont="1" applyFill="1" applyBorder="1" applyAlignment="1" applyProtection="1">
      <alignment horizontal="center" vertical="center"/>
      <protection hidden="1"/>
    </xf>
    <xf numFmtId="0" fontId="2" fillId="0" borderId="96" xfId="0" applyFont="1" applyBorder="1" applyAlignment="1">
      <alignment horizontal="center" vertical="center"/>
    </xf>
    <xf numFmtId="0" fontId="24" fillId="0" borderId="40" xfId="0" applyFont="1" applyBorder="1" applyAlignment="1" applyProtection="1">
      <alignment horizontal="right" vertical="center"/>
    </xf>
    <xf numFmtId="0" fontId="24" fillId="0" borderId="0" xfId="0" applyFont="1" applyAlignment="1">
      <alignment horizontal="right" vertical="center"/>
    </xf>
    <xf numFmtId="0" fontId="24" fillId="0" borderId="113" xfId="0" applyFont="1" applyBorder="1" applyAlignment="1">
      <alignment horizontal="right" vertical="center"/>
    </xf>
    <xf numFmtId="1" fontId="24" fillId="0" borderId="114" xfId="0" applyNumberFormat="1" applyFont="1" applyBorder="1" applyAlignment="1" applyProtection="1">
      <alignment horizontal="right" vertical="center"/>
    </xf>
    <xf numFmtId="0" fontId="24" fillId="0" borderId="44" xfId="0" applyFont="1" applyBorder="1" applyAlignment="1">
      <alignment horizontal="right" vertical="center"/>
    </xf>
    <xf numFmtId="0" fontId="24" fillId="0" borderId="115" xfId="0" applyFont="1" applyBorder="1" applyAlignment="1">
      <alignment horizontal="right" vertical="center"/>
    </xf>
    <xf numFmtId="0" fontId="24" fillId="0" borderId="116" xfId="0" applyFont="1" applyBorder="1" applyAlignment="1" applyProtection="1">
      <alignment horizontal="right" vertical="center"/>
    </xf>
    <xf numFmtId="0" fontId="24" fillId="0" borderId="113" xfId="0" applyFont="1" applyBorder="1" applyAlignment="1">
      <alignment vertical="center"/>
    </xf>
    <xf numFmtId="1" fontId="24" fillId="0" borderId="117" xfId="0" applyNumberFormat="1" applyFont="1" applyBorder="1" applyAlignment="1" applyProtection="1">
      <alignment horizontal="right" vertical="center"/>
    </xf>
    <xf numFmtId="0" fontId="24" fillId="0" borderId="115" xfId="0" applyFont="1" applyBorder="1" applyAlignment="1">
      <alignment vertical="center"/>
    </xf>
    <xf numFmtId="0" fontId="8" fillId="4" borderId="0" xfId="4" applyFont="1" applyAlignment="1">
      <alignment horizontal="center" vertical="center" wrapText="1"/>
    </xf>
    <xf numFmtId="0" fontId="6" fillId="4" borderId="0" xfId="4" applyAlignment="1">
      <alignment horizontal="center" vertical="center" wrapText="1"/>
    </xf>
  </cellXfs>
  <cellStyles count="11">
    <cellStyle name="40% - Accent1" xfId="9" builtinId="31"/>
    <cellStyle name="60% - Accent1" xfId="5" builtinId="32"/>
    <cellStyle name="Accent1" xfId="4" builtinId="29"/>
    <cellStyle name="Accent5" xfId="10" builtinId="45"/>
    <cellStyle name="Currency" xfId="8" builtinId="4"/>
    <cellStyle name="Explanatory Text" xfId="3" builtinId="53"/>
    <cellStyle name="Hyperlink" xfId="6" builtinId="8"/>
    <cellStyle name="Input" xfId="1" builtinId="20"/>
    <cellStyle name="Normal" xfId="0" builtinId="0"/>
    <cellStyle name="Note" xfId="2" builtinId="10"/>
    <cellStyle name="Percent" xfId="7" builtinId="5"/>
  </cellStyles>
  <dxfs count="1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fgColor rgb="FF000000"/>
          <bgColor rgb="FFFFFFFF"/>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9" defaultPivotStyle="PivotStyleLight16"/>
  <colors>
    <mruColors>
      <color rgb="FFFFFF99"/>
      <color rgb="FF79DDFF"/>
      <color rgb="FF00B0F0"/>
      <color rgb="FF00B0DC"/>
      <color rgb="FF53B9D5"/>
      <color rgb="FF2787A0"/>
      <color rgb="FF2787A9"/>
      <color rgb="FFDCE6F2"/>
      <color rgb="FF96B4D8"/>
      <color rgb="FFC0B2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Peak Day Cooling Load Profile</a:t>
            </a:r>
          </a:p>
        </c:rich>
      </c:tx>
      <c:overlay val="0"/>
    </c:title>
    <c:autoTitleDeleted val="0"/>
    <c:plotArea>
      <c:layout>
        <c:manualLayout>
          <c:layoutTarget val="inner"/>
          <c:xMode val="edge"/>
          <c:yMode val="edge"/>
          <c:x val="0.12136379149591267"/>
          <c:y val="9.7464847357535897E-2"/>
          <c:w val="0.86527905666957738"/>
          <c:h val="0.71428682921028031"/>
        </c:manualLayout>
      </c:layout>
      <c:barChart>
        <c:barDir val="col"/>
        <c:grouping val="stacked"/>
        <c:varyColors val="0"/>
        <c:ser>
          <c:idx val="1"/>
          <c:order val="0"/>
          <c:tx>
            <c:v>Base Load Chiller 2</c:v>
          </c:tx>
          <c:invertIfNegative val="0"/>
          <c:val>
            <c:numRef>
              <c:f>'Chiller Calcs'!$R$45:$R$68</c:f>
              <c:numCache>
                <c:formatCode>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0DF6-4C90-BBCC-731427A269FC}"/>
            </c:ext>
          </c:extLst>
        </c:ser>
        <c:ser>
          <c:idx val="0"/>
          <c:order val="1"/>
          <c:tx>
            <c:v>Base Load Chiller 1</c:v>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val>
            <c:numRef>
              <c:f>'Chiller Calcs'!$Q$45:$Q$68</c:f>
              <c:numCache>
                <c:formatCode>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0DF6-4C90-BBCC-731427A269FC}"/>
            </c:ext>
          </c:extLst>
        </c:ser>
        <c:ser>
          <c:idx val="6"/>
          <c:order val="2"/>
          <c:tx>
            <c:strRef>
              <c:f>'Chiller Calcs'!$L$44</c:f>
              <c:strCache>
                <c:ptCount val="1"/>
                <c:pt idx="0">
                  <c:v>Ice Chiller 2</c:v>
                </c:pt>
              </c:strCache>
            </c:strRef>
          </c:tx>
          <c:invertIfNegative val="0"/>
          <c:val>
            <c:numRef>
              <c:f>'Chiller Calcs'!$O$45:$O$68</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0DF6-4C90-BBCC-731427A269FC}"/>
            </c:ext>
          </c:extLst>
        </c:ser>
        <c:ser>
          <c:idx val="2"/>
          <c:order val="3"/>
          <c:tx>
            <c:strRef>
              <c:f>'Chiller Calcs'!$K$44</c:f>
              <c:strCache>
                <c:ptCount val="1"/>
                <c:pt idx="0">
                  <c:v>Ice Chiller 1</c:v>
                </c:pt>
              </c:strCache>
            </c:strRef>
          </c:tx>
          <c:spPr>
            <a:gradFill rotWithShape="1">
              <a:gsLst>
                <a:gs pos="0">
                  <a:srgbClr val="2787A0"/>
                </a:gs>
                <a:gs pos="80000">
                  <a:srgbClr val="4BACC6">
                    <a:shade val="93000"/>
                    <a:satMod val="130000"/>
                  </a:srgbClr>
                </a:gs>
                <a:gs pos="100000">
                  <a:srgbClr val="4BACC6">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val>
            <c:numRef>
              <c:f>'Chiller Calcs'!$N$45:$N$68</c:f>
              <c:numCache>
                <c:formatCode>General</c:formatCode>
                <c:ptCount val="24"/>
                <c:pt idx="0">
                  <c:v>0</c:v>
                </c:pt>
                <c:pt idx="1">
                  <c:v>0</c:v>
                </c:pt>
                <c:pt idx="2">
                  <c:v>0</c:v>
                </c:pt>
                <c:pt idx="3">
                  <c:v>0</c:v>
                </c:pt>
                <c:pt idx="4">
                  <c:v>0</c:v>
                </c:pt>
                <c:pt idx="5">
                  <c:v>0</c:v>
                </c:pt>
                <c:pt idx="6">
                  <c:v>62.5</c:v>
                </c:pt>
                <c:pt idx="7">
                  <c:v>112.5</c:v>
                </c:pt>
                <c:pt idx="8">
                  <c:v>147.93577981651376</c:v>
                </c:pt>
                <c:pt idx="9">
                  <c:v>147.93577981651376</c:v>
                </c:pt>
                <c:pt idx="10">
                  <c:v>147.93577981651376</c:v>
                </c:pt>
                <c:pt idx="11">
                  <c:v>147.93577981651376</c:v>
                </c:pt>
                <c:pt idx="12">
                  <c:v>147.93577981651376</c:v>
                </c:pt>
                <c:pt idx="13">
                  <c:v>147.93577981651376</c:v>
                </c:pt>
                <c:pt idx="14">
                  <c:v>147.93577981651376</c:v>
                </c:pt>
                <c:pt idx="15">
                  <c:v>125</c:v>
                </c:pt>
                <c:pt idx="16">
                  <c:v>50</c:v>
                </c:pt>
                <c:pt idx="17">
                  <c:v>50</c:v>
                </c:pt>
                <c:pt idx="18">
                  <c:v>0</c:v>
                </c:pt>
                <c:pt idx="19">
                  <c:v>0</c:v>
                </c:pt>
                <c:pt idx="20">
                  <c:v>0</c:v>
                </c:pt>
                <c:pt idx="21">
                  <c:v>0</c:v>
                </c:pt>
                <c:pt idx="22">
                  <c:v>0</c:v>
                </c:pt>
                <c:pt idx="23">
                  <c:v>0</c:v>
                </c:pt>
              </c:numCache>
            </c:numRef>
          </c:val>
          <c:extLst>
            <c:ext xmlns:c16="http://schemas.microsoft.com/office/drawing/2014/chart" uri="{C3380CC4-5D6E-409C-BE32-E72D297353CC}">
              <c16:uniqueId val="{00000003-0DF6-4C90-BBCC-731427A269FC}"/>
            </c:ext>
          </c:extLst>
        </c:ser>
        <c:ser>
          <c:idx val="3"/>
          <c:order val="4"/>
          <c:tx>
            <c:v>IceBank Cooling</c:v>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val>
            <c:numRef>
              <c:f>'Chiller Calcs'!$X$45:$X$68</c:f>
              <c:numCache>
                <c:formatCode>0</c:formatCode>
                <c:ptCount val="24"/>
                <c:pt idx="0">
                  <c:v>0</c:v>
                </c:pt>
                <c:pt idx="1">
                  <c:v>0</c:v>
                </c:pt>
                <c:pt idx="2">
                  <c:v>0</c:v>
                </c:pt>
                <c:pt idx="3">
                  <c:v>0</c:v>
                </c:pt>
                <c:pt idx="4">
                  <c:v>0</c:v>
                </c:pt>
                <c:pt idx="5">
                  <c:v>0</c:v>
                </c:pt>
                <c:pt idx="6">
                  <c:v>0</c:v>
                </c:pt>
                <c:pt idx="7">
                  <c:v>0</c:v>
                </c:pt>
                <c:pt idx="8">
                  <c:v>39.564220183486242</c:v>
                </c:pt>
                <c:pt idx="9">
                  <c:v>77.064220183486242</c:v>
                </c:pt>
                <c:pt idx="10">
                  <c:v>102.06422018348624</c:v>
                </c:pt>
                <c:pt idx="11">
                  <c:v>102.06422018348624</c:v>
                </c:pt>
                <c:pt idx="12">
                  <c:v>102.06422018348624</c:v>
                </c:pt>
                <c:pt idx="13">
                  <c:v>102.06422018348624</c:v>
                </c:pt>
                <c:pt idx="14">
                  <c:v>52.064220183486242</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0DF6-4C90-BBCC-731427A269FC}"/>
            </c:ext>
          </c:extLst>
        </c:ser>
        <c:ser>
          <c:idx val="4"/>
          <c:order val="5"/>
          <c:tx>
            <c:v>IceBank Charging</c:v>
          </c:tx>
          <c:spPr>
            <a:gradFill rotWithShape="1">
              <a:gsLst>
                <a:gs pos="0">
                  <a:srgbClr val="769535"/>
                </a:gs>
                <a:gs pos="80000">
                  <a:srgbClr val="9BBB59">
                    <a:shade val="93000"/>
                    <a:satMod val="130000"/>
                  </a:srgbClr>
                </a:gs>
                <a:gs pos="100000">
                  <a:srgbClr val="9BBB59">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val>
            <c:numRef>
              <c:f>'Chiller Calcs'!$J$45:$J$68</c:f>
              <c:numCache>
                <c:formatCode>General</c:formatCode>
                <c:ptCount val="24"/>
                <c:pt idx="0">
                  <c:v>96.158256880733944</c:v>
                </c:pt>
                <c:pt idx="1">
                  <c:v>96.158256880733944</c:v>
                </c:pt>
                <c:pt idx="2">
                  <c:v>96.158256880733944</c:v>
                </c:pt>
                <c:pt idx="3">
                  <c:v>96.158256880733944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96.158256880733944</c:v>
                </c:pt>
                <c:pt idx="23">
                  <c:v>96.158256880733944</c:v>
                </c:pt>
              </c:numCache>
            </c:numRef>
          </c:val>
          <c:extLst>
            <c:ext xmlns:c16="http://schemas.microsoft.com/office/drawing/2014/chart" uri="{C3380CC4-5D6E-409C-BE32-E72D297353CC}">
              <c16:uniqueId val="{00000005-0DF6-4C90-BBCC-731427A269FC}"/>
            </c:ext>
          </c:extLst>
        </c:ser>
        <c:dLbls>
          <c:showLegendKey val="0"/>
          <c:showVal val="0"/>
          <c:showCatName val="0"/>
          <c:showSerName val="0"/>
          <c:showPercent val="0"/>
          <c:showBubbleSize val="0"/>
        </c:dLbls>
        <c:gapWidth val="90"/>
        <c:overlap val="100"/>
        <c:axId val="456720480"/>
        <c:axId val="513566616"/>
      </c:barChart>
      <c:catAx>
        <c:axId val="456720480"/>
        <c:scaling>
          <c:orientation val="minMax"/>
        </c:scaling>
        <c:delete val="0"/>
        <c:axPos val="b"/>
        <c:title>
          <c:tx>
            <c:rich>
              <a:bodyPr/>
              <a:lstStyle/>
              <a:p>
                <a:pPr>
                  <a:defRPr/>
                </a:pPr>
                <a:r>
                  <a:rPr lang="en-US"/>
                  <a:t>HOUR</a:t>
                </a:r>
              </a:p>
            </c:rich>
          </c:tx>
          <c:overlay val="0"/>
        </c:title>
        <c:majorTickMark val="out"/>
        <c:minorTickMark val="none"/>
        <c:tickLblPos val="nextTo"/>
        <c:spPr>
          <a:noFill/>
          <a:ln w="9525" cap="flat" cmpd="sng" algn="ctr">
            <a:solidFill>
              <a:schemeClr val="accent5">
                <a:shade val="95000"/>
                <a:satMod val="105000"/>
              </a:schemeClr>
            </a:solidFill>
            <a:prstDash val="solid"/>
          </a:ln>
          <a:effectLst/>
        </c:spPr>
        <c:txPr>
          <a:bodyPr/>
          <a:lstStyle/>
          <a:p>
            <a:pPr>
              <a:defRPr>
                <a:solidFill>
                  <a:schemeClr val="tx1"/>
                </a:solidFill>
                <a:latin typeface="+mn-lt"/>
                <a:ea typeface="+mn-ea"/>
                <a:cs typeface="+mn-cs"/>
              </a:defRPr>
            </a:pPr>
            <a:endParaRPr lang="en-US"/>
          </a:p>
        </c:txPr>
        <c:crossAx val="513566616"/>
        <c:crosses val="autoZero"/>
        <c:auto val="1"/>
        <c:lblAlgn val="ctr"/>
        <c:lblOffset val="100"/>
        <c:noMultiLvlLbl val="0"/>
      </c:catAx>
      <c:valAx>
        <c:axId val="513566616"/>
        <c:scaling>
          <c:orientation val="minMax"/>
        </c:scaling>
        <c:delete val="0"/>
        <c:axPos val="l"/>
        <c:majorGridlines/>
        <c:title>
          <c:tx>
            <c:rich>
              <a:bodyPr rot="0" vert="wordArtVert"/>
              <a:lstStyle/>
              <a:p>
                <a:pPr>
                  <a:defRPr/>
                </a:pPr>
                <a:r>
                  <a:rPr lang="en-US"/>
                  <a:t>TONS</a:t>
                </a:r>
              </a:p>
            </c:rich>
          </c:tx>
          <c:overlay val="0"/>
        </c:title>
        <c:numFmt formatCode="0" sourceLinked="1"/>
        <c:majorTickMark val="out"/>
        <c:minorTickMark val="none"/>
        <c:tickLblPos val="nextTo"/>
        <c:spPr>
          <a:noFill/>
          <a:ln w="9525" cap="flat" cmpd="sng" algn="ctr">
            <a:solidFill>
              <a:schemeClr val="accent5">
                <a:shade val="95000"/>
                <a:satMod val="105000"/>
              </a:schemeClr>
            </a:solidFill>
            <a:prstDash val="solid"/>
          </a:ln>
          <a:effectLst/>
        </c:spPr>
        <c:txPr>
          <a:bodyPr/>
          <a:lstStyle/>
          <a:p>
            <a:pPr>
              <a:defRPr sz="1200">
                <a:solidFill>
                  <a:schemeClr val="tx1"/>
                </a:solidFill>
                <a:latin typeface="+mn-lt"/>
                <a:ea typeface="+mn-ea"/>
                <a:cs typeface="+mn-cs"/>
              </a:defRPr>
            </a:pPr>
            <a:endParaRPr lang="en-US"/>
          </a:p>
        </c:txPr>
        <c:crossAx val="456720480"/>
        <c:crosses val="autoZero"/>
        <c:crossBetween val="between"/>
      </c:valAx>
      <c:spPr>
        <a:effectLst>
          <a:innerShdw blurRad="63500" dist="50800" dir="8100000">
            <a:prstClr val="black">
              <a:alpha val="50000"/>
            </a:prstClr>
          </a:innerShdw>
        </a:effectLst>
        <a:scene3d>
          <a:camera prst="orthographicFront"/>
          <a:lightRig rig="threePt" dir="t"/>
        </a:scene3d>
        <a:sp3d>
          <a:bevelT prst="angle"/>
        </a:sp3d>
      </c:spPr>
    </c:plotArea>
    <c:legend>
      <c:legendPos val="b"/>
      <c:layout>
        <c:manualLayout>
          <c:xMode val="edge"/>
          <c:yMode val="edge"/>
          <c:x val="8.8105265414268039E-2"/>
          <c:y val="0.9216119739256966"/>
          <c:w val="0.89999987924830693"/>
          <c:h val="4.2573824252951822E-2"/>
        </c:manualLayout>
      </c:layout>
      <c:overlay val="0"/>
    </c:legend>
    <c:plotVisOnly val="1"/>
    <c:dispBlanksAs val="gap"/>
    <c:showDLblsOverMax val="0"/>
  </c:chart>
  <c:spPr>
    <a:gradFill>
      <a:gsLst>
        <a:gs pos="0">
          <a:schemeClr val="accent1">
            <a:lumMod val="20000"/>
            <a:lumOff val="80000"/>
          </a:schemeClr>
        </a:gs>
        <a:gs pos="39999">
          <a:srgbClr val="85C2FF"/>
        </a:gs>
        <a:gs pos="70000">
          <a:srgbClr val="C4D6EB"/>
        </a:gs>
        <a:gs pos="100000">
          <a:srgbClr val="FFEBFA"/>
        </a:gs>
      </a:gsLst>
      <a:lin ang="5400000" scaled="0"/>
    </a:gradFill>
  </c:spPr>
  <c:txPr>
    <a:bodyPr/>
    <a:lstStyle/>
    <a:p>
      <a:pPr>
        <a:defRPr>
          <a:effectLst/>
        </a:defRPr>
      </a:pPr>
      <a:endParaRPr lang="en-US"/>
    </a:p>
  </c:txPr>
  <c:printSettings>
    <c:headerFooter/>
    <c:pageMargins b="0.75000000000001465" l="0.70000000000000095" r="0.70000000000000095" t="0.75000000000001465" header="0.30000000000000032" footer="0.30000000000000032"/>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latin typeface="Aachen Std Bold" pitchFamily="18" charset="0"/>
              </a:rPr>
              <a:t>IceBank</a:t>
            </a:r>
            <a:r>
              <a:rPr lang="en-US"/>
              <a:t>® Cooling Load Profile</a:t>
            </a:r>
          </a:p>
        </c:rich>
      </c:tx>
      <c:layout>
        <c:manualLayout>
          <c:xMode val="edge"/>
          <c:yMode val="edge"/>
          <c:x val="0.3465702900837303"/>
          <c:y val="1.3888886357377466E-2"/>
        </c:manualLayout>
      </c:layout>
      <c:overlay val="0"/>
    </c:title>
    <c:autoTitleDeleted val="0"/>
    <c:plotArea>
      <c:layout>
        <c:manualLayout>
          <c:layoutTarget val="inner"/>
          <c:xMode val="edge"/>
          <c:yMode val="edge"/>
          <c:x val="5.4447749586857067E-2"/>
          <c:y val="0.17077924178928641"/>
          <c:w val="0.90706322939828232"/>
          <c:h val="0.71667528216615872"/>
        </c:manualLayout>
      </c:layout>
      <c:barChart>
        <c:barDir val="col"/>
        <c:grouping val="stacked"/>
        <c:varyColors val="0"/>
        <c:ser>
          <c:idx val="0"/>
          <c:order val="0"/>
          <c:tx>
            <c:strRef>
              <c:f>'Chiller Input &amp; Cooling Profile'!$E$5</c:f>
              <c:strCache>
                <c:ptCount val="1"/>
                <c:pt idx="0">
                  <c:v>Base Load Chiller 1 (tons)</c:v>
                </c:pt>
              </c:strCache>
            </c:strRef>
          </c:tx>
          <c:spPr>
            <a:solidFill>
              <a:srgbClr val="FFFF00"/>
            </a:solidFill>
          </c:spPr>
          <c:invertIfNegative val="0"/>
          <c:val>
            <c:numRef>
              <c:f>'Chiller Input &amp; Cooling Profile'!$E$6:$E$29</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369A-447B-B6FB-DF6695F6C92D}"/>
            </c:ext>
          </c:extLst>
        </c:ser>
        <c:ser>
          <c:idx val="1"/>
          <c:order val="1"/>
          <c:tx>
            <c:strRef>
              <c:f>'Chiller Input &amp; Cooling Profile'!$F$5</c:f>
              <c:strCache>
                <c:ptCount val="1"/>
                <c:pt idx="0">
                  <c:v>Base Load Chiller 2 (tons)</c:v>
                </c:pt>
              </c:strCache>
            </c:strRef>
          </c:tx>
          <c:invertIfNegative val="0"/>
          <c:val>
            <c:numRef>
              <c:f>'Chiller Input &amp; Cooling Profile'!$F$6:$F$29</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369A-447B-B6FB-DF6695F6C92D}"/>
            </c:ext>
          </c:extLst>
        </c:ser>
        <c:ser>
          <c:idx val="2"/>
          <c:order val="2"/>
          <c:tx>
            <c:strRef>
              <c:f>'Chiller Input &amp; Cooling Profile'!$G$5</c:f>
              <c:strCache>
                <c:ptCount val="1"/>
                <c:pt idx="0">
                  <c:v>Ice Chiller Daytime (tons)</c:v>
                </c:pt>
              </c:strCache>
            </c:strRef>
          </c:tx>
          <c:spPr>
            <a:solidFill>
              <a:schemeClr val="accent6">
                <a:lumMod val="75000"/>
              </a:schemeClr>
            </a:solidFill>
          </c:spPr>
          <c:invertIfNegative val="0"/>
          <c:val>
            <c:numRef>
              <c:f>'Chiller Input &amp; Cooling Profile'!$G$6:$G$29</c:f>
              <c:numCache>
                <c:formatCode>General</c:formatCode>
                <c:ptCount val="24"/>
                <c:pt idx="0">
                  <c:v>0</c:v>
                </c:pt>
                <c:pt idx="1">
                  <c:v>0</c:v>
                </c:pt>
                <c:pt idx="2">
                  <c:v>0</c:v>
                </c:pt>
                <c:pt idx="3">
                  <c:v>0</c:v>
                </c:pt>
                <c:pt idx="4">
                  <c:v>0</c:v>
                </c:pt>
                <c:pt idx="5">
                  <c:v>0</c:v>
                </c:pt>
                <c:pt idx="6">
                  <c:v>0</c:v>
                </c:pt>
                <c:pt idx="7">
                  <c:v>0</c:v>
                </c:pt>
                <c:pt idx="8">
                  <c:v>147.93577981651376</c:v>
                </c:pt>
                <c:pt idx="9">
                  <c:v>147.93577981651376</c:v>
                </c:pt>
                <c:pt idx="10">
                  <c:v>147.93577981651376</c:v>
                </c:pt>
                <c:pt idx="11">
                  <c:v>147.93577981651376</c:v>
                </c:pt>
                <c:pt idx="12">
                  <c:v>147.93577981651376</c:v>
                </c:pt>
                <c:pt idx="13">
                  <c:v>147.93577981651376</c:v>
                </c:pt>
                <c:pt idx="14">
                  <c:v>147.93577981651376</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369A-447B-B6FB-DF6695F6C92D}"/>
            </c:ext>
          </c:extLst>
        </c:ser>
        <c:ser>
          <c:idx val="3"/>
          <c:order val="3"/>
          <c:tx>
            <c:strRef>
              <c:f>'Chiller Input &amp; Cooling Profile'!$H$5</c:f>
              <c:strCache>
                <c:ptCount val="1"/>
                <c:pt idx="0">
                  <c:v>Ice Chiller Charging (tons)</c:v>
                </c:pt>
              </c:strCache>
            </c:strRef>
          </c:tx>
          <c:spPr>
            <a:solidFill>
              <a:schemeClr val="accent3">
                <a:lumMod val="75000"/>
              </a:schemeClr>
            </a:solidFill>
          </c:spPr>
          <c:invertIfNegative val="0"/>
          <c:val>
            <c:numRef>
              <c:f>'Chiller Input &amp; Cooling Profile'!$H$6:$H$29</c:f>
              <c:numCache>
                <c:formatCode>0</c:formatCode>
                <c:ptCount val="24"/>
                <c:pt idx="0">
                  <c:v>96.158256880733944</c:v>
                </c:pt>
                <c:pt idx="1">
                  <c:v>96.158256880733944</c:v>
                </c:pt>
                <c:pt idx="2">
                  <c:v>96.158256880733944</c:v>
                </c:pt>
                <c:pt idx="3">
                  <c:v>96.158256880733944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96.158256880733944</c:v>
                </c:pt>
                <c:pt idx="23">
                  <c:v>96.158256880733944</c:v>
                </c:pt>
              </c:numCache>
            </c:numRef>
          </c:val>
          <c:extLst>
            <c:ext xmlns:c16="http://schemas.microsoft.com/office/drawing/2014/chart" uri="{C3380CC4-5D6E-409C-BE32-E72D297353CC}">
              <c16:uniqueId val="{00000003-369A-447B-B6FB-DF6695F6C92D}"/>
            </c:ext>
          </c:extLst>
        </c:ser>
        <c:ser>
          <c:idx val="4"/>
          <c:order val="4"/>
          <c:tx>
            <c:strRef>
              <c:f>'Chiller Input &amp; Cooling Profile'!$I$5</c:f>
              <c:strCache>
                <c:ptCount val="1"/>
                <c:pt idx="0">
                  <c:v>IceBank® Discharge (tons)</c:v>
                </c:pt>
              </c:strCache>
            </c:strRef>
          </c:tx>
          <c:invertIfNegative val="0"/>
          <c:val>
            <c:numRef>
              <c:f>'Chiller Input &amp; Cooling Profile'!$I$6:$I$29</c:f>
              <c:numCache>
                <c:formatCode>0</c:formatCode>
                <c:ptCount val="24"/>
                <c:pt idx="0">
                  <c:v>0</c:v>
                </c:pt>
                <c:pt idx="1">
                  <c:v>0</c:v>
                </c:pt>
                <c:pt idx="2">
                  <c:v>0</c:v>
                </c:pt>
                <c:pt idx="3">
                  <c:v>0</c:v>
                </c:pt>
                <c:pt idx="4">
                  <c:v>0</c:v>
                </c:pt>
                <c:pt idx="5">
                  <c:v>0</c:v>
                </c:pt>
                <c:pt idx="6">
                  <c:v>62.5</c:v>
                </c:pt>
                <c:pt idx="7">
                  <c:v>112.5</c:v>
                </c:pt>
                <c:pt idx="8">
                  <c:v>39.564220183486242</c:v>
                </c:pt>
                <c:pt idx="9">
                  <c:v>77.064220183486242</c:v>
                </c:pt>
                <c:pt idx="10">
                  <c:v>102.06422018348624</c:v>
                </c:pt>
                <c:pt idx="11">
                  <c:v>102.06422018348624</c:v>
                </c:pt>
                <c:pt idx="12">
                  <c:v>102.06422018348624</c:v>
                </c:pt>
                <c:pt idx="13">
                  <c:v>102.06422018348624</c:v>
                </c:pt>
                <c:pt idx="14">
                  <c:v>52.064220183486242</c:v>
                </c:pt>
                <c:pt idx="15">
                  <c:v>125</c:v>
                </c:pt>
                <c:pt idx="16">
                  <c:v>50</c:v>
                </c:pt>
                <c:pt idx="17">
                  <c:v>248</c:v>
                </c:pt>
                <c:pt idx="18">
                  <c:v>0</c:v>
                </c:pt>
                <c:pt idx="19">
                  <c:v>0</c:v>
                </c:pt>
                <c:pt idx="20">
                  <c:v>0</c:v>
                </c:pt>
                <c:pt idx="21">
                  <c:v>0</c:v>
                </c:pt>
                <c:pt idx="22">
                  <c:v>0</c:v>
                </c:pt>
                <c:pt idx="23">
                  <c:v>0</c:v>
                </c:pt>
              </c:numCache>
            </c:numRef>
          </c:val>
          <c:extLst>
            <c:ext xmlns:c16="http://schemas.microsoft.com/office/drawing/2014/chart" uri="{C3380CC4-5D6E-409C-BE32-E72D297353CC}">
              <c16:uniqueId val="{00000004-369A-447B-B6FB-DF6695F6C92D}"/>
            </c:ext>
          </c:extLst>
        </c:ser>
        <c:dLbls>
          <c:showLegendKey val="0"/>
          <c:showVal val="0"/>
          <c:showCatName val="0"/>
          <c:showSerName val="0"/>
          <c:showPercent val="0"/>
          <c:showBubbleSize val="0"/>
        </c:dLbls>
        <c:gapWidth val="80"/>
        <c:overlap val="100"/>
        <c:axId val="513567008"/>
        <c:axId val="513564656"/>
      </c:barChart>
      <c:catAx>
        <c:axId val="513567008"/>
        <c:scaling>
          <c:orientation val="minMax"/>
        </c:scaling>
        <c:delete val="0"/>
        <c:axPos val="b"/>
        <c:title>
          <c:tx>
            <c:rich>
              <a:bodyPr anchor="ctr" anchorCtr="0"/>
              <a:lstStyle/>
              <a:p>
                <a:pPr>
                  <a:defRPr/>
                </a:pPr>
                <a:r>
                  <a:rPr lang="en-US"/>
                  <a:t>HOUR</a:t>
                </a:r>
              </a:p>
            </c:rich>
          </c:tx>
          <c:layout>
            <c:manualLayout>
              <c:xMode val="edge"/>
              <c:yMode val="edge"/>
              <c:x val="0.47306629726839738"/>
              <c:y val="0.9470109584036337"/>
            </c:manualLayout>
          </c:layout>
          <c:overlay val="0"/>
        </c:title>
        <c:majorTickMark val="out"/>
        <c:minorTickMark val="none"/>
        <c:tickLblPos val="nextTo"/>
        <c:crossAx val="513564656"/>
        <c:crosses val="autoZero"/>
        <c:auto val="1"/>
        <c:lblAlgn val="ctr"/>
        <c:lblOffset val="100"/>
        <c:noMultiLvlLbl val="0"/>
      </c:catAx>
      <c:valAx>
        <c:axId val="513564656"/>
        <c:scaling>
          <c:orientation val="minMax"/>
        </c:scaling>
        <c:delete val="0"/>
        <c:axPos val="l"/>
        <c:majorGridlines/>
        <c:title>
          <c:tx>
            <c:rich>
              <a:bodyPr rot="0" vert="wordArtVert"/>
              <a:lstStyle/>
              <a:p>
                <a:pPr>
                  <a:defRPr/>
                </a:pPr>
                <a:r>
                  <a:rPr lang="en-US"/>
                  <a:t>TONS</a:t>
                </a:r>
              </a:p>
            </c:rich>
          </c:tx>
          <c:overlay val="0"/>
        </c:title>
        <c:numFmt formatCode="General" sourceLinked="1"/>
        <c:majorTickMark val="out"/>
        <c:minorTickMark val="none"/>
        <c:tickLblPos val="nextTo"/>
        <c:crossAx val="513567008"/>
        <c:crosses val="autoZero"/>
        <c:crossBetween val="between"/>
      </c:valAx>
      <c:spPr>
        <a:scene3d>
          <a:camera prst="orthographicFront"/>
          <a:lightRig rig="threePt" dir="t"/>
        </a:scene3d>
        <a:sp3d>
          <a:bevelB prst="relaxedInset"/>
        </a:sp3d>
      </c:spPr>
    </c:plotArea>
    <c:legend>
      <c:legendPos val="t"/>
      <c:overlay val="0"/>
    </c:legend>
    <c:plotVisOnly val="1"/>
    <c:dispBlanksAs val="gap"/>
    <c:showDLblsOverMax val="0"/>
  </c:chart>
  <c:printSettings>
    <c:headerFooter/>
    <c:pageMargins b="0.7500000000000131" l="0.70000000000000062" r="0.70000000000000062" t="0.7500000000000131"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1.gif"/><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2</xdr:col>
      <xdr:colOff>73415</xdr:colOff>
      <xdr:row>1</xdr:row>
      <xdr:rowOff>285753</xdr:rowOff>
    </xdr:from>
    <xdr:to>
      <xdr:col>5</xdr:col>
      <xdr:colOff>583405</xdr:colOff>
      <xdr:row>2</xdr:row>
      <xdr:rowOff>285750</xdr:rowOff>
    </xdr:to>
    <xdr:sp macro="[0]!IceChiller1Derating" textlink="">
      <xdr:nvSpPr>
        <xdr:cNvPr id="6" name="Rounded Rectangle 5"/>
        <xdr:cNvSpPr/>
      </xdr:nvSpPr>
      <xdr:spPr>
        <a:xfrm>
          <a:off x="918759" y="952503"/>
          <a:ext cx="2236396" cy="30956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r>
            <a:rPr lang="en-US" sz="1100" b="1"/>
            <a:t>Input Ice Chiller 1</a:t>
          </a:r>
          <a:r>
            <a:rPr lang="en-US" sz="1100" b="1" baseline="0"/>
            <a:t> </a:t>
          </a:r>
          <a:r>
            <a:rPr lang="en-US" sz="1100" baseline="0"/>
            <a:t>Default Data </a:t>
          </a:r>
          <a:endParaRPr lang="en-US" sz="1100"/>
        </a:p>
      </xdr:txBody>
    </xdr:sp>
    <xdr:clientData/>
  </xdr:twoCellAnchor>
  <xdr:oneCellAnchor>
    <xdr:from>
      <xdr:col>12</xdr:col>
      <xdr:colOff>357188</xdr:colOff>
      <xdr:row>1</xdr:row>
      <xdr:rowOff>273378</xdr:rowOff>
    </xdr:from>
    <xdr:ext cx="2286000" cy="292704"/>
    <xdr:sp macro="[0]!BaseChiller1Derating" textlink="">
      <xdr:nvSpPr>
        <xdr:cNvPr id="7" name="Rounded Rectangle 6"/>
        <xdr:cNvSpPr/>
      </xdr:nvSpPr>
      <xdr:spPr>
        <a:xfrm>
          <a:off x="7643813" y="940128"/>
          <a:ext cx="2286000" cy="292704"/>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wrap="square" rtlCol="0" anchor="ctr">
          <a:noAutofit/>
        </a:bodyPr>
        <a:lstStyle/>
        <a:p>
          <a:pPr algn="ctr"/>
          <a:r>
            <a:rPr lang="en-US" sz="1100" b="1"/>
            <a:t> Input Base Chiller</a:t>
          </a:r>
          <a:r>
            <a:rPr lang="en-US" sz="1100" b="1" baseline="0"/>
            <a:t> 1  Default  Data</a:t>
          </a:r>
          <a:endParaRPr lang="en-US" sz="1100" b="1"/>
        </a:p>
      </xdr:txBody>
    </xdr:sp>
    <xdr:clientData/>
  </xdr:oneCellAnchor>
  <xdr:oneCellAnchor>
    <xdr:from>
      <xdr:col>17</xdr:col>
      <xdr:colOff>250031</xdr:colOff>
      <xdr:row>1</xdr:row>
      <xdr:rowOff>283040</xdr:rowOff>
    </xdr:from>
    <xdr:ext cx="2285998" cy="292704"/>
    <xdr:sp macro="[0]!BaseChiller2Derating" textlink="">
      <xdr:nvSpPr>
        <xdr:cNvPr id="8" name="Rounded Rectangle 7"/>
        <xdr:cNvSpPr/>
      </xdr:nvSpPr>
      <xdr:spPr>
        <a:xfrm>
          <a:off x="10846594" y="949790"/>
          <a:ext cx="2285998" cy="292704"/>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wrap="square" rtlCol="0" anchor="ctr">
          <a:noAutofit/>
        </a:bodyPr>
        <a:lstStyle/>
        <a:p>
          <a:pPr algn="ctr"/>
          <a:r>
            <a:rPr lang="en-US" sz="1100"/>
            <a:t> Input </a:t>
          </a:r>
          <a:r>
            <a:rPr lang="en-US" sz="1100" b="1"/>
            <a:t>Base</a:t>
          </a:r>
          <a:r>
            <a:rPr lang="en-US" sz="1100" b="1" baseline="0"/>
            <a:t> </a:t>
          </a:r>
          <a:r>
            <a:rPr lang="en-US" sz="1100" b="1"/>
            <a:t>Chiller</a:t>
          </a:r>
          <a:r>
            <a:rPr lang="en-US" sz="1100" b="1" baseline="0"/>
            <a:t> 2 </a:t>
          </a:r>
          <a:r>
            <a:rPr lang="en-US" sz="1100" baseline="0"/>
            <a:t>Default  Data</a:t>
          </a:r>
          <a:endParaRPr lang="en-US" sz="1100"/>
        </a:p>
      </xdr:txBody>
    </xdr:sp>
    <xdr:clientData/>
  </xdr:oneCellAnchor>
  <xdr:twoCellAnchor>
    <xdr:from>
      <xdr:col>7</xdr:col>
      <xdr:colOff>357187</xdr:colOff>
      <xdr:row>1</xdr:row>
      <xdr:rowOff>280561</xdr:rowOff>
    </xdr:from>
    <xdr:to>
      <xdr:col>10</xdr:col>
      <xdr:colOff>702468</xdr:colOff>
      <xdr:row>2</xdr:row>
      <xdr:rowOff>297656</xdr:rowOff>
    </xdr:to>
    <xdr:sp macro="[0]!IceChiller2Derating" textlink="">
      <xdr:nvSpPr>
        <xdr:cNvPr id="9" name="Rounded Rectangle 8"/>
        <xdr:cNvSpPr/>
      </xdr:nvSpPr>
      <xdr:spPr>
        <a:xfrm>
          <a:off x="4155281" y="947311"/>
          <a:ext cx="2274093" cy="32665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r>
            <a:rPr lang="en-US" sz="1100" b="1"/>
            <a:t>Input Ice Chiller 2 </a:t>
          </a:r>
          <a:r>
            <a:rPr lang="en-US" sz="1100" baseline="0"/>
            <a:t>Default Data</a:t>
          </a:r>
          <a:endParaRPr lang="en-US" sz="1100"/>
        </a:p>
      </xdr:txBody>
    </xdr:sp>
    <xdr:clientData/>
  </xdr:twoCellAnchor>
  <xdr:twoCellAnchor>
    <xdr:from>
      <xdr:col>11</xdr:col>
      <xdr:colOff>23113</xdr:colOff>
      <xdr:row>6</xdr:row>
      <xdr:rowOff>23813</xdr:rowOff>
    </xdr:from>
    <xdr:to>
      <xdr:col>22</xdr:col>
      <xdr:colOff>762001</xdr:colOff>
      <xdr:row>30</xdr:row>
      <xdr:rowOff>178593</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493755</xdr:colOff>
      <xdr:row>1</xdr:row>
      <xdr:rowOff>118597</xdr:rowOff>
    </xdr:from>
    <xdr:to>
      <xdr:col>23</xdr:col>
      <xdr:colOff>28095</xdr:colOff>
      <xdr:row>1</xdr:row>
      <xdr:rowOff>121617</xdr:rowOff>
    </xdr:to>
    <xdr:pic>
      <xdr:nvPicPr>
        <xdr:cNvPr id="12" name="Picture 11" descr="1190C2.gif"/>
        <xdr:cNvPicPr>
          <a:picLocks noChangeAspect="1"/>
        </xdr:cNvPicPr>
      </xdr:nvPicPr>
      <xdr:blipFill>
        <a:blip xmlns:r="http://schemas.openxmlformats.org/officeDocument/2006/relationships" r:embed="rId2" cstate="print"/>
        <a:stretch>
          <a:fillRect/>
        </a:stretch>
      </xdr:blipFill>
      <xdr:spPr>
        <a:xfrm>
          <a:off x="13185818" y="785347"/>
          <a:ext cx="506365" cy="620995"/>
        </a:xfrm>
        <a:prstGeom prst="rect">
          <a:avLst/>
        </a:prstGeom>
      </xdr:spPr>
    </xdr:pic>
    <xdr:clientData/>
  </xdr:twoCellAnchor>
  <xdr:twoCellAnchor editAs="oneCell">
    <xdr:from>
      <xdr:col>0</xdr:col>
      <xdr:colOff>105455</xdr:colOff>
      <xdr:row>0</xdr:row>
      <xdr:rowOff>309563</xdr:rowOff>
    </xdr:from>
    <xdr:to>
      <xdr:col>1</xdr:col>
      <xdr:colOff>380921</xdr:colOff>
      <xdr:row>2</xdr:row>
      <xdr:rowOff>119233</xdr:rowOff>
    </xdr:to>
    <xdr:pic>
      <xdr:nvPicPr>
        <xdr:cNvPr id="13" name="Picture 12" descr="1190C2.gif"/>
        <xdr:cNvPicPr>
          <a:picLocks noChangeAspect="1"/>
        </xdr:cNvPicPr>
      </xdr:nvPicPr>
      <xdr:blipFill>
        <a:blip xmlns:r="http://schemas.openxmlformats.org/officeDocument/2006/relationships" r:embed="rId2" cstate="print"/>
        <a:stretch>
          <a:fillRect/>
        </a:stretch>
      </xdr:blipFill>
      <xdr:spPr>
        <a:xfrm>
          <a:off x="105455" y="309563"/>
          <a:ext cx="632654" cy="785983"/>
        </a:xfrm>
        <a:prstGeom prst="rect">
          <a:avLst/>
        </a:prstGeom>
      </xdr:spPr>
    </xdr:pic>
    <xdr:clientData/>
  </xdr:twoCellAnchor>
  <xdr:twoCellAnchor editAs="oneCell">
    <xdr:from>
      <xdr:col>21</xdr:col>
      <xdr:colOff>253536</xdr:colOff>
      <xdr:row>0</xdr:row>
      <xdr:rowOff>285750</xdr:rowOff>
    </xdr:from>
    <xdr:to>
      <xdr:col>22</xdr:col>
      <xdr:colOff>500062</xdr:colOff>
      <xdr:row>2</xdr:row>
      <xdr:rowOff>103731</xdr:rowOff>
    </xdr:to>
    <xdr:pic>
      <xdr:nvPicPr>
        <xdr:cNvPr id="11" name="Picture 10" descr="OLDLOGOOPC.gif"/>
        <xdr:cNvPicPr>
          <a:picLocks noChangeAspect="1"/>
        </xdr:cNvPicPr>
      </xdr:nvPicPr>
      <xdr:blipFill>
        <a:blip xmlns:r="http://schemas.openxmlformats.org/officeDocument/2006/relationships" r:embed="rId3" cstate="print"/>
        <a:stretch>
          <a:fillRect/>
        </a:stretch>
      </xdr:blipFill>
      <xdr:spPr>
        <a:xfrm>
          <a:off x="13398036" y="285750"/>
          <a:ext cx="948995" cy="794294"/>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18</xdr:col>
      <xdr:colOff>0</xdr:colOff>
      <xdr:row>10</xdr:row>
      <xdr:rowOff>0</xdr:rowOff>
    </xdr:from>
    <xdr:to>
      <xdr:col>34</xdr:col>
      <xdr:colOff>478651</xdr:colOff>
      <xdr:row>38</xdr:row>
      <xdr:rowOff>79242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ld%20IceBank%20Account/FPL%20GSLD2%20vs.%20SDTR%20Jan2016%20-%20Full_Storage%2016012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john/Documents/Documents/Calculations/Evan/FPL%20all%20rates%201603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Summary (Inputs, Outputs)"/>
      <sheetName val="IceBank Account"/>
      <sheetName val="Savings Analysis"/>
      <sheetName val="Chiller Input &amp; Cooling Profile"/>
      <sheetName val="Chiller Calcs"/>
      <sheetName val="Operating Savings"/>
    </sheetNames>
    <sheetDataSet>
      <sheetData sheetId="0"/>
      <sheetData sheetId="1"/>
      <sheetData sheetId="2">
        <row r="4">
          <cell r="F4">
            <v>676.32850241545884</v>
          </cell>
          <cell r="K4" t="str">
            <v/>
          </cell>
          <cell r="P4">
            <v>100</v>
          </cell>
          <cell r="U4">
            <v>0</v>
          </cell>
        </row>
        <row r="8">
          <cell r="B8" t="str">
            <v>I</v>
          </cell>
          <cell r="E8">
            <v>0.65</v>
          </cell>
          <cell r="G8">
            <v>1</v>
          </cell>
          <cell r="H8">
            <v>1</v>
          </cell>
          <cell r="J8">
            <v>0</v>
          </cell>
          <cell r="K8">
            <v>0</v>
          </cell>
        </row>
        <row r="9">
          <cell r="B9" t="str">
            <v>I</v>
          </cell>
          <cell r="E9">
            <v>0.65</v>
          </cell>
          <cell r="G9">
            <v>1</v>
          </cell>
          <cell r="H9">
            <v>1</v>
          </cell>
          <cell r="J9">
            <v>0</v>
          </cell>
          <cell r="K9">
            <v>0</v>
          </cell>
        </row>
        <row r="10">
          <cell r="B10" t="str">
            <v>I</v>
          </cell>
          <cell r="E10">
            <v>0.65</v>
          </cell>
          <cell r="G10">
            <v>1</v>
          </cell>
          <cell r="H10">
            <v>1</v>
          </cell>
          <cell r="J10">
            <v>0</v>
          </cell>
          <cell r="K10">
            <v>0</v>
          </cell>
        </row>
        <row r="11">
          <cell r="B11" t="str">
            <v>I</v>
          </cell>
          <cell r="E11">
            <v>0.65</v>
          </cell>
          <cell r="G11">
            <v>1</v>
          </cell>
          <cell r="H11">
            <v>1</v>
          </cell>
          <cell r="J11">
            <v>0</v>
          </cell>
          <cell r="K11">
            <v>0</v>
          </cell>
        </row>
        <row r="12">
          <cell r="B12" t="str">
            <v>I</v>
          </cell>
          <cell r="E12">
            <v>0.65</v>
          </cell>
          <cell r="G12">
            <v>1</v>
          </cell>
          <cell r="H12">
            <v>1</v>
          </cell>
          <cell r="J12">
            <v>0</v>
          </cell>
          <cell r="K12">
            <v>0</v>
          </cell>
        </row>
        <row r="13">
          <cell r="B13" t="str">
            <v>I</v>
          </cell>
          <cell r="E13">
            <v>0.65</v>
          </cell>
          <cell r="G13">
            <v>1</v>
          </cell>
          <cell r="H13">
            <v>1</v>
          </cell>
          <cell r="J13">
            <v>0</v>
          </cell>
          <cell r="K13">
            <v>0</v>
          </cell>
        </row>
        <row r="14">
          <cell r="B14" t="str">
            <v>P</v>
          </cell>
          <cell r="E14">
            <v>0.9</v>
          </cell>
          <cell r="G14">
            <v>1</v>
          </cell>
          <cell r="H14">
            <v>1</v>
          </cell>
          <cell r="J14">
            <v>100</v>
          </cell>
          <cell r="K14">
            <v>0</v>
          </cell>
        </row>
        <row r="15">
          <cell r="B15" t="str">
            <v>P</v>
          </cell>
          <cell r="E15">
            <v>0.9</v>
          </cell>
          <cell r="G15">
            <v>1</v>
          </cell>
          <cell r="H15">
            <v>1</v>
          </cell>
          <cell r="J15">
            <v>200</v>
          </cell>
          <cell r="K15">
            <v>0</v>
          </cell>
        </row>
        <row r="16">
          <cell r="B16" t="str">
            <v>P</v>
          </cell>
          <cell r="E16">
            <v>0.9</v>
          </cell>
          <cell r="G16">
            <v>1</v>
          </cell>
          <cell r="H16">
            <v>1</v>
          </cell>
          <cell r="J16">
            <v>300</v>
          </cell>
          <cell r="K16">
            <v>0</v>
          </cell>
        </row>
        <row r="17">
          <cell r="B17" t="str">
            <v>P</v>
          </cell>
          <cell r="E17">
            <v>0.9</v>
          </cell>
          <cell r="G17">
            <v>1</v>
          </cell>
          <cell r="H17">
            <v>1</v>
          </cell>
          <cell r="J17">
            <v>400</v>
          </cell>
          <cell r="K17">
            <v>0</v>
          </cell>
        </row>
        <row r="18">
          <cell r="B18" t="str">
            <v>P</v>
          </cell>
          <cell r="E18">
            <v>0.9</v>
          </cell>
          <cell r="G18">
            <v>1</v>
          </cell>
          <cell r="H18">
            <v>1</v>
          </cell>
          <cell r="J18">
            <v>608.695652173913</v>
          </cell>
          <cell r="K18">
            <v>0</v>
          </cell>
        </row>
        <row r="19">
          <cell r="B19" t="str">
            <v>P</v>
          </cell>
          <cell r="E19">
            <v>0.9</v>
          </cell>
          <cell r="G19">
            <v>1</v>
          </cell>
          <cell r="H19">
            <v>1</v>
          </cell>
          <cell r="J19">
            <v>608.695652173913</v>
          </cell>
          <cell r="K19">
            <v>0</v>
          </cell>
        </row>
        <row r="20">
          <cell r="B20" t="str">
            <v>P</v>
          </cell>
          <cell r="E20">
            <v>0.9</v>
          </cell>
          <cell r="G20">
            <v>1</v>
          </cell>
          <cell r="H20">
            <v>1</v>
          </cell>
          <cell r="J20">
            <v>608.695652173913</v>
          </cell>
          <cell r="K20">
            <v>0</v>
          </cell>
        </row>
        <row r="21">
          <cell r="B21" t="str">
            <v>P</v>
          </cell>
          <cell r="E21">
            <v>0.9</v>
          </cell>
          <cell r="G21">
            <v>1</v>
          </cell>
          <cell r="H21">
            <v>1</v>
          </cell>
          <cell r="J21">
            <v>608.695652173913</v>
          </cell>
          <cell r="K21">
            <v>0</v>
          </cell>
        </row>
        <row r="22">
          <cell r="B22" t="str">
            <v>P</v>
          </cell>
          <cell r="E22">
            <v>0.9</v>
          </cell>
          <cell r="G22">
            <v>1</v>
          </cell>
          <cell r="H22">
            <v>1</v>
          </cell>
          <cell r="J22">
            <v>608.695652173913</v>
          </cell>
          <cell r="K22">
            <v>0</v>
          </cell>
        </row>
        <row r="23">
          <cell r="B23" t="str">
            <v>F</v>
          </cell>
          <cell r="E23">
            <v>0</v>
          </cell>
          <cell r="G23">
            <v>0</v>
          </cell>
          <cell r="H23">
            <v>0</v>
          </cell>
          <cell r="J23">
            <v>0</v>
          </cell>
          <cell r="K23">
            <v>0</v>
          </cell>
        </row>
        <row r="24">
          <cell r="B24" t="str">
            <v>F</v>
          </cell>
          <cell r="E24">
            <v>0</v>
          </cell>
          <cell r="G24">
            <v>0</v>
          </cell>
          <cell r="H24">
            <v>0</v>
          </cell>
          <cell r="J24">
            <v>0</v>
          </cell>
          <cell r="K24">
            <v>0</v>
          </cell>
        </row>
        <row r="25">
          <cell r="B25" t="str">
            <v>F</v>
          </cell>
          <cell r="E25">
            <v>0</v>
          </cell>
          <cell r="G25">
            <v>0</v>
          </cell>
          <cell r="H25">
            <v>0</v>
          </cell>
          <cell r="J25">
            <v>0</v>
          </cell>
          <cell r="K25">
            <v>0</v>
          </cell>
        </row>
        <row r="26">
          <cell r="B26" t="str">
            <v>P</v>
          </cell>
          <cell r="E26">
            <v>0.9</v>
          </cell>
          <cell r="G26">
            <v>1</v>
          </cell>
          <cell r="H26">
            <v>1</v>
          </cell>
          <cell r="J26">
            <v>500</v>
          </cell>
          <cell r="K26">
            <v>0</v>
          </cell>
        </row>
        <row r="27">
          <cell r="B27" t="str">
            <v>P</v>
          </cell>
          <cell r="E27">
            <v>0.9</v>
          </cell>
          <cell r="G27">
            <v>1</v>
          </cell>
          <cell r="H27">
            <v>1</v>
          </cell>
          <cell r="J27">
            <v>500</v>
          </cell>
          <cell r="K27">
            <v>0</v>
          </cell>
        </row>
        <row r="28">
          <cell r="B28" t="str">
            <v>P</v>
          </cell>
          <cell r="E28">
            <v>0.9</v>
          </cell>
          <cell r="G28">
            <v>1</v>
          </cell>
          <cell r="H28">
            <v>1</v>
          </cell>
          <cell r="J28">
            <v>500</v>
          </cell>
          <cell r="K28">
            <v>0</v>
          </cell>
        </row>
        <row r="29">
          <cell r="B29" t="str">
            <v>I</v>
          </cell>
          <cell r="E29">
            <v>0.65</v>
          </cell>
          <cell r="G29">
            <v>1</v>
          </cell>
          <cell r="H29">
            <v>1</v>
          </cell>
          <cell r="J29">
            <v>0</v>
          </cell>
          <cell r="K29">
            <v>0</v>
          </cell>
        </row>
        <row r="30">
          <cell r="B30" t="str">
            <v>I</v>
          </cell>
          <cell r="E30">
            <v>0.65</v>
          </cell>
          <cell r="G30">
            <v>1</v>
          </cell>
          <cell r="H30">
            <v>1</v>
          </cell>
          <cell r="J30">
            <v>0</v>
          </cell>
          <cell r="K30">
            <v>0</v>
          </cell>
        </row>
        <row r="31">
          <cell r="B31" t="str">
            <v>I</v>
          </cell>
          <cell r="E31">
            <v>0.65</v>
          </cell>
          <cell r="G31">
            <v>1</v>
          </cell>
          <cell r="H31">
            <v>1</v>
          </cell>
          <cell r="J31">
            <v>0</v>
          </cell>
          <cell r="K31">
            <v>0</v>
          </cell>
        </row>
        <row r="33">
          <cell r="M33">
            <v>3956.5217391304341</v>
          </cell>
        </row>
      </sheetData>
      <sheetData sheetId="3"/>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Summary"/>
      <sheetName val="IceBank Account"/>
      <sheetName val="Sheet1"/>
      <sheetName val="GSD"/>
      <sheetName val="GSLD1"/>
      <sheetName val="GSLD2"/>
      <sheetName val="GSDT"/>
      <sheetName val="GSLDT1"/>
      <sheetName val="GSLDT2"/>
      <sheetName val="GSD-SDTR (Option B)"/>
      <sheetName val="GSLD1-SDTR (Option B)"/>
      <sheetName val="GSLD2-SDTR (Option B)"/>
      <sheetName val="Blended Electricity Cost Calc"/>
      <sheetName val="Chiller Input &amp; Cooling Profile"/>
      <sheetName val="Chiller Calcs"/>
    </sheetNames>
    <sheetDataSet>
      <sheetData sheetId="0">
        <row r="74">
          <cell r="I74">
            <v>240</v>
          </cell>
        </row>
      </sheetData>
      <sheetData sheetId="1">
        <row r="13">
          <cell r="B13">
            <v>7500</v>
          </cell>
        </row>
        <row r="15">
          <cell r="B15">
            <v>0.2</v>
          </cell>
        </row>
        <row r="19">
          <cell r="B19">
            <v>0.8</v>
          </cell>
        </row>
        <row r="20">
          <cell r="B20">
            <v>0.8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calmac.com/products/"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158"/>
  <sheetViews>
    <sheetView showGridLines="0" tabSelected="1" zoomScale="80" zoomScaleNormal="80" workbookViewId="0">
      <selection activeCell="B25" sqref="B25"/>
    </sheetView>
  </sheetViews>
  <sheetFormatPr defaultRowHeight="14.5"/>
  <cols>
    <col min="1" max="1" width="18.1796875" customWidth="1"/>
    <col min="2" max="2" width="20.81640625" bestFit="1" customWidth="1"/>
    <col min="3" max="3" width="19.7265625" customWidth="1"/>
    <col min="4" max="4" width="24.453125" customWidth="1"/>
    <col min="5" max="5" width="19.54296875" customWidth="1"/>
    <col min="6" max="6" width="24.26953125" customWidth="1"/>
    <col min="7" max="7" width="24.453125" bestFit="1" customWidth="1"/>
    <col min="8" max="8" width="21.26953125" customWidth="1"/>
    <col min="9" max="9" width="18.54296875" customWidth="1"/>
    <col min="10" max="10" width="23.1796875" customWidth="1"/>
    <col min="11" max="11" width="15.54296875" customWidth="1"/>
    <col min="12" max="12" width="13.453125" customWidth="1"/>
    <col min="14" max="14" width="15.81640625" bestFit="1" customWidth="1"/>
  </cols>
  <sheetData>
    <row r="1" spans="1:1" ht="21">
      <c r="A1" s="300" t="s">
        <v>226</v>
      </c>
    </row>
    <row r="2" spans="1:1">
      <c r="A2" t="s">
        <v>227</v>
      </c>
    </row>
    <row r="4" spans="1:1">
      <c r="A4" t="s">
        <v>228</v>
      </c>
    </row>
    <row r="5" spans="1:1">
      <c r="A5" t="s">
        <v>229</v>
      </c>
    </row>
    <row r="6" spans="1:1">
      <c r="A6" t="s">
        <v>237</v>
      </c>
    </row>
    <row r="8" spans="1:1">
      <c r="A8" s="175" t="s">
        <v>230</v>
      </c>
    </row>
    <row r="9" spans="1:1">
      <c r="A9" t="s">
        <v>234</v>
      </c>
    </row>
    <row r="10" spans="1:1">
      <c r="A10" t="s">
        <v>232</v>
      </c>
    </row>
    <row r="11" spans="1:1">
      <c r="A11" t="s">
        <v>233</v>
      </c>
    </row>
    <row r="12" spans="1:1">
      <c r="A12" t="s">
        <v>235</v>
      </c>
    </row>
    <row r="13" spans="1:1">
      <c r="A13" t="s">
        <v>236</v>
      </c>
    </row>
    <row r="14" spans="1:1">
      <c r="A14" t="s">
        <v>238</v>
      </c>
    </row>
    <row r="15" spans="1:1">
      <c r="A15" t="s">
        <v>239</v>
      </c>
    </row>
    <row r="16" spans="1:1">
      <c r="A16" t="s">
        <v>240</v>
      </c>
    </row>
    <row r="17" spans="1:18">
      <c r="A17" t="s">
        <v>241</v>
      </c>
    </row>
    <row r="18" spans="1:18">
      <c r="A18" t="s">
        <v>370</v>
      </c>
    </row>
    <row r="20" spans="1:18" ht="15" thickBot="1"/>
    <row r="21" spans="1:18">
      <c r="A21" s="363" t="s">
        <v>265</v>
      </c>
      <c r="B21" s="364"/>
    </row>
    <row r="22" spans="1:18">
      <c r="A22" s="365" t="s">
        <v>245</v>
      </c>
      <c r="B22" s="366"/>
    </row>
    <row r="23" spans="1:18">
      <c r="A23" s="243" t="s">
        <v>341</v>
      </c>
      <c r="B23" s="367" t="s">
        <v>271</v>
      </c>
    </row>
    <row r="24" spans="1:18">
      <c r="A24" s="243" t="s">
        <v>266</v>
      </c>
      <c r="B24" s="368">
        <v>250</v>
      </c>
    </row>
    <row r="25" spans="1:18" ht="15" thickBot="1">
      <c r="A25" s="369" t="s">
        <v>267</v>
      </c>
      <c r="B25" s="370" t="s">
        <v>338</v>
      </c>
      <c r="D25" s="296"/>
      <c r="E25" s="175"/>
      <c r="F25" s="296"/>
      <c r="I25" s="1" t="s">
        <v>268</v>
      </c>
    </row>
    <row r="26" spans="1:18">
      <c r="B26" s="12"/>
      <c r="C26" s="12"/>
      <c r="D26" s="12"/>
      <c r="E26" s="12"/>
      <c r="F26" s="12"/>
      <c r="I26" s="328" t="s">
        <v>288</v>
      </c>
      <c r="M26" t="s">
        <v>374</v>
      </c>
    </row>
    <row r="27" spans="1:18">
      <c r="A27" s="249" t="s">
        <v>10</v>
      </c>
      <c r="B27" s="373" t="s">
        <v>244</v>
      </c>
      <c r="C27" s="374" t="s">
        <v>337</v>
      </c>
      <c r="D27" s="374" t="s">
        <v>247</v>
      </c>
      <c r="E27" s="374" t="s">
        <v>338</v>
      </c>
      <c r="F27" s="331" t="s">
        <v>269</v>
      </c>
      <c r="G27" s="331" t="s">
        <v>270</v>
      </c>
      <c r="I27" t="s">
        <v>246</v>
      </c>
      <c r="J27" s="249" t="s">
        <v>10</v>
      </c>
      <c r="K27" s="1" t="s">
        <v>336</v>
      </c>
      <c r="M27">
        <v>1</v>
      </c>
      <c r="N27">
        <v>2</v>
      </c>
      <c r="O27">
        <v>3</v>
      </c>
      <c r="Q27" t="s">
        <v>64</v>
      </c>
      <c r="R27" t="s">
        <v>26</v>
      </c>
    </row>
    <row r="28" spans="1:18">
      <c r="A28">
        <v>1</v>
      </c>
      <c r="B28" s="177">
        <v>20</v>
      </c>
      <c r="C28" s="12">
        <v>10</v>
      </c>
      <c r="D28" s="12">
        <v>0</v>
      </c>
      <c r="E28" s="12">
        <v>0</v>
      </c>
      <c r="F28" s="12">
        <v>10</v>
      </c>
      <c r="G28" s="334">
        <f t="shared" ref="G28:G51" si="0">$B$24*0.01*HLOOKUP($B$25,$A$27:$H$51,A28+1)</f>
        <v>0</v>
      </c>
      <c r="I28" s="394">
        <f>R28</f>
        <v>12.5</v>
      </c>
      <c r="J28">
        <v>1</v>
      </c>
      <c r="K28" s="394">
        <f t="shared" ref="K28:K51" si="1">IF($B$23="Yes",G28,I28)</f>
        <v>0</v>
      </c>
      <c r="M28">
        <v>149</v>
      </c>
      <c r="N28">
        <v>129</v>
      </c>
      <c r="O28">
        <v>21</v>
      </c>
      <c r="Q28">
        <f t="shared" ref="Q28:Q51" si="2">SUM(N28:P28)</f>
        <v>150</v>
      </c>
      <c r="R28" s="46">
        <f>Q28/12</f>
        <v>12.5</v>
      </c>
    </row>
    <row r="29" spans="1:18">
      <c r="A29">
        <v>2</v>
      </c>
      <c r="B29" s="177">
        <v>20</v>
      </c>
      <c r="C29" s="12">
        <v>10</v>
      </c>
      <c r="D29" s="12">
        <v>0</v>
      </c>
      <c r="E29" s="12">
        <v>0</v>
      </c>
      <c r="F29" s="12">
        <v>10</v>
      </c>
      <c r="G29" s="333">
        <f t="shared" si="0"/>
        <v>0</v>
      </c>
      <c r="I29" s="394">
        <f t="shared" ref="I29:I51" si="3">R29</f>
        <v>11.75</v>
      </c>
      <c r="J29">
        <v>2</v>
      </c>
      <c r="K29" s="394">
        <f t="shared" si="1"/>
        <v>0</v>
      </c>
      <c r="M29">
        <v>142</v>
      </c>
      <c r="N29">
        <v>122</v>
      </c>
      <c r="O29">
        <v>19</v>
      </c>
      <c r="Q29">
        <f t="shared" si="2"/>
        <v>141</v>
      </c>
      <c r="R29" s="46">
        <f t="shared" ref="R29:R51" si="4">Q29/12</f>
        <v>11.75</v>
      </c>
    </row>
    <row r="30" spans="1:18">
      <c r="A30">
        <v>3</v>
      </c>
      <c r="B30" s="177">
        <v>20</v>
      </c>
      <c r="C30" s="12">
        <v>10</v>
      </c>
      <c r="D30" s="12">
        <v>0</v>
      </c>
      <c r="E30" s="12">
        <v>0</v>
      </c>
      <c r="F30" s="12">
        <v>10</v>
      </c>
      <c r="G30" s="333">
        <f t="shared" si="0"/>
        <v>0</v>
      </c>
      <c r="I30" s="394">
        <f t="shared" si="3"/>
        <v>11.166666666666666</v>
      </c>
      <c r="J30">
        <v>3</v>
      </c>
      <c r="K30" s="394">
        <f t="shared" si="1"/>
        <v>0</v>
      </c>
      <c r="M30">
        <v>134</v>
      </c>
      <c r="N30">
        <v>117</v>
      </c>
      <c r="O30">
        <v>17</v>
      </c>
      <c r="Q30">
        <f t="shared" si="2"/>
        <v>134</v>
      </c>
      <c r="R30" s="46">
        <f t="shared" si="4"/>
        <v>11.166666666666666</v>
      </c>
    </row>
    <row r="31" spans="1:18">
      <c r="A31">
        <v>4</v>
      </c>
      <c r="B31" s="177">
        <v>20</v>
      </c>
      <c r="C31" s="12">
        <v>10</v>
      </c>
      <c r="D31" s="12">
        <v>0</v>
      </c>
      <c r="E31" s="12">
        <v>0</v>
      </c>
      <c r="F31" s="12">
        <v>10</v>
      </c>
      <c r="G31" s="333">
        <f t="shared" si="0"/>
        <v>0</v>
      </c>
      <c r="I31" s="394">
        <f t="shared" si="3"/>
        <v>10.583333333333334</v>
      </c>
      <c r="J31">
        <v>4</v>
      </c>
      <c r="K31" s="394">
        <f t="shared" si="1"/>
        <v>0</v>
      </c>
      <c r="M31">
        <v>128</v>
      </c>
      <c r="N31">
        <v>111</v>
      </c>
      <c r="O31">
        <v>16</v>
      </c>
      <c r="Q31">
        <f t="shared" si="2"/>
        <v>127</v>
      </c>
      <c r="R31" s="46">
        <f t="shared" si="4"/>
        <v>10.583333333333334</v>
      </c>
    </row>
    <row r="32" spans="1:18">
      <c r="A32">
        <v>5</v>
      </c>
      <c r="B32" s="177">
        <v>20</v>
      </c>
      <c r="C32" s="12">
        <v>10</v>
      </c>
      <c r="D32" s="12">
        <v>0</v>
      </c>
      <c r="E32" s="12">
        <v>0</v>
      </c>
      <c r="F32" s="12">
        <v>10</v>
      </c>
      <c r="G32" s="333">
        <f t="shared" si="0"/>
        <v>0</v>
      </c>
      <c r="I32" s="394">
        <f t="shared" si="3"/>
        <v>10.083333333333334</v>
      </c>
      <c r="J32">
        <v>5</v>
      </c>
      <c r="K32" s="394">
        <f t="shared" si="1"/>
        <v>0</v>
      </c>
      <c r="M32">
        <v>121</v>
      </c>
      <c r="N32">
        <v>106</v>
      </c>
      <c r="O32">
        <v>15</v>
      </c>
      <c r="Q32">
        <f t="shared" si="2"/>
        <v>121</v>
      </c>
      <c r="R32" s="46">
        <f t="shared" si="4"/>
        <v>10.083333333333334</v>
      </c>
    </row>
    <row r="33" spans="1:18">
      <c r="A33">
        <v>6</v>
      </c>
      <c r="B33" s="177">
        <v>30</v>
      </c>
      <c r="C33" s="12">
        <v>10</v>
      </c>
      <c r="D33" s="12">
        <v>25</v>
      </c>
      <c r="E33" s="12">
        <v>0</v>
      </c>
      <c r="F33" s="12">
        <v>10</v>
      </c>
      <c r="G33" s="333">
        <f t="shared" si="0"/>
        <v>0</v>
      </c>
      <c r="I33" s="394">
        <f t="shared" si="3"/>
        <v>10.666666666666666</v>
      </c>
      <c r="J33">
        <v>6</v>
      </c>
      <c r="K33" s="394">
        <f t="shared" si="1"/>
        <v>0</v>
      </c>
      <c r="M33">
        <v>127</v>
      </c>
      <c r="N33">
        <v>112</v>
      </c>
      <c r="O33">
        <v>16</v>
      </c>
      <c r="Q33">
        <f t="shared" si="2"/>
        <v>128</v>
      </c>
      <c r="R33" s="46">
        <f t="shared" si="4"/>
        <v>10.666666666666666</v>
      </c>
    </row>
    <row r="34" spans="1:18">
      <c r="A34">
        <v>7</v>
      </c>
      <c r="B34" s="177">
        <v>40</v>
      </c>
      <c r="C34" s="12">
        <v>30</v>
      </c>
      <c r="D34" s="12">
        <v>30</v>
      </c>
      <c r="E34" s="12">
        <v>25</v>
      </c>
      <c r="F34" s="12">
        <v>30</v>
      </c>
      <c r="G34" s="333">
        <f t="shared" si="0"/>
        <v>62.5</v>
      </c>
      <c r="I34" s="394">
        <f t="shared" si="3"/>
        <v>33</v>
      </c>
      <c r="J34">
        <v>7</v>
      </c>
      <c r="K34" s="394">
        <f t="shared" si="1"/>
        <v>62.5</v>
      </c>
      <c r="M34">
        <v>470</v>
      </c>
      <c r="N34">
        <v>360</v>
      </c>
      <c r="O34">
        <v>36</v>
      </c>
      <c r="Q34">
        <f t="shared" si="2"/>
        <v>396</v>
      </c>
      <c r="R34" s="46">
        <f t="shared" si="4"/>
        <v>33</v>
      </c>
    </row>
    <row r="35" spans="1:18">
      <c r="A35">
        <v>8</v>
      </c>
      <c r="B35" s="177">
        <v>50</v>
      </c>
      <c r="C35" s="12">
        <v>35</v>
      </c>
      <c r="D35" s="12">
        <v>45</v>
      </c>
      <c r="E35" s="12">
        <v>45</v>
      </c>
      <c r="F35" s="12">
        <v>35</v>
      </c>
      <c r="G35" s="333">
        <f t="shared" si="0"/>
        <v>112.5</v>
      </c>
      <c r="I35" s="394">
        <f t="shared" si="3"/>
        <v>34.583333333333336</v>
      </c>
      <c r="J35">
        <v>8</v>
      </c>
      <c r="K35" s="394">
        <f t="shared" si="1"/>
        <v>112.5</v>
      </c>
      <c r="M35">
        <v>481</v>
      </c>
      <c r="N35">
        <v>370</v>
      </c>
      <c r="O35">
        <v>45</v>
      </c>
      <c r="Q35">
        <f t="shared" si="2"/>
        <v>415</v>
      </c>
      <c r="R35" s="46">
        <f t="shared" si="4"/>
        <v>34.583333333333336</v>
      </c>
    </row>
    <row r="36" spans="1:18">
      <c r="A36">
        <v>9</v>
      </c>
      <c r="B36" s="177">
        <v>70</v>
      </c>
      <c r="C36" s="12">
        <v>75</v>
      </c>
      <c r="D36" s="12">
        <v>75</v>
      </c>
      <c r="E36" s="12">
        <v>75</v>
      </c>
      <c r="F36" s="12">
        <v>75</v>
      </c>
      <c r="G36" s="333">
        <f t="shared" si="0"/>
        <v>187.5</v>
      </c>
      <c r="I36" s="394">
        <f t="shared" si="3"/>
        <v>35.833333333333336</v>
      </c>
      <c r="J36">
        <v>9</v>
      </c>
      <c r="K36" s="394">
        <f t="shared" si="1"/>
        <v>187.5</v>
      </c>
      <c r="M36">
        <v>492</v>
      </c>
      <c r="N36">
        <v>381</v>
      </c>
      <c r="O36">
        <v>49</v>
      </c>
      <c r="Q36">
        <f t="shared" si="2"/>
        <v>430</v>
      </c>
      <c r="R36" s="46">
        <f t="shared" si="4"/>
        <v>35.833333333333336</v>
      </c>
    </row>
    <row r="37" spans="1:18">
      <c r="A37">
        <v>10</v>
      </c>
      <c r="B37" s="177">
        <v>90</v>
      </c>
      <c r="C37" s="12">
        <v>90</v>
      </c>
      <c r="D37" s="12">
        <v>90</v>
      </c>
      <c r="E37" s="12">
        <v>90</v>
      </c>
      <c r="F37" s="12">
        <v>90</v>
      </c>
      <c r="G37" s="333">
        <f t="shared" si="0"/>
        <v>225</v>
      </c>
      <c r="I37" s="394">
        <f t="shared" si="3"/>
        <v>37.083333333333336</v>
      </c>
      <c r="J37">
        <v>10</v>
      </c>
      <c r="K37" s="394">
        <f t="shared" si="1"/>
        <v>225</v>
      </c>
      <c r="M37">
        <v>503</v>
      </c>
      <c r="N37">
        <v>393</v>
      </c>
      <c r="O37">
        <v>52</v>
      </c>
      <c r="Q37">
        <f t="shared" si="2"/>
        <v>445</v>
      </c>
      <c r="R37" s="46">
        <f t="shared" si="4"/>
        <v>37.083333333333336</v>
      </c>
    </row>
    <row r="38" spans="1:18">
      <c r="A38">
        <v>11</v>
      </c>
      <c r="B38" s="177">
        <v>100</v>
      </c>
      <c r="C38" s="12">
        <v>100</v>
      </c>
      <c r="D38" s="12">
        <v>100</v>
      </c>
      <c r="E38" s="12">
        <v>100</v>
      </c>
      <c r="F38" s="12">
        <v>100</v>
      </c>
      <c r="G38" s="333">
        <f t="shared" si="0"/>
        <v>250</v>
      </c>
      <c r="I38" s="394">
        <f t="shared" si="3"/>
        <v>69</v>
      </c>
      <c r="J38">
        <v>11</v>
      </c>
      <c r="K38" s="394">
        <f t="shared" si="1"/>
        <v>250</v>
      </c>
      <c r="M38">
        <v>847</v>
      </c>
      <c r="N38">
        <v>701</v>
      </c>
      <c r="O38">
        <v>127</v>
      </c>
      <c r="Q38">
        <f t="shared" si="2"/>
        <v>828</v>
      </c>
      <c r="R38" s="46">
        <f t="shared" si="4"/>
        <v>69</v>
      </c>
    </row>
    <row r="39" spans="1:18">
      <c r="A39">
        <v>12</v>
      </c>
      <c r="B39" s="177">
        <v>100</v>
      </c>
      <c r="C39" s="12">
        <v>90</v>
      </c>
      <c r="D39" s="12">
        <v>100</v>
      </c>
      <c r="E39" s="12">
        <v>100</v>
      </c>
      <c r="F39" s="12">
        <v>90</v>
      </c>
      <c r="G39" s="333">
        <f t="shared" si="0"/>
        <v>250</v>
      </c>
      <c r="I39" s="394">
        <f t="shared" si="3"/>
        <v>70</v>
      </c>
      <c r="J39">
        <v>12</v>
      </c>
      <c r="K39" s="394">
        <f t="shared" si="1"/>
        <v>250</v>
      </c>
      <c r="M39">
        <v>862</v>
      </c>
      <c r="N39">
        <v>713</v>
      </c>
      <c r="O39">
        <v>127</v>
      </c>
      <c r="Q39">
        <f t="shared" si="2"/>
        <v>840</v>
      </c>
      <c r="R39" s="46">
        <f t="shared" si="4"/>
        <v>70</v>
      </c>
    </row>
    <row r="40" spans="1:18">
      <c r="A40">
        <v>13</v>
      </c>
      <c r="B40" s="177">
        <v>100</v>
      </c>
      <c r="C40" s="12">
        <v>100</v>
      </c>
      <c r="D40" s="12">
        <v>100</v>
      </c>
      <c r="E40" s="12">
        <v>100</v>
      </c>
      <c r="F40" s="12">
        <v>100</v>
      </c>
      <c r="G40" s="333">
        <f t="shared" si="0"/>
        <v>250</v>
      </c>
      <c r="I40" s="394">
        <f t="shared" si="3"/>
        <v>70.833333333333329</v>
      </c>
      <c r="J40">
        <v>13</v>
      </c>
      <c r="K40" s="394">
        <f t="shared" si="1"/>
        <v>250</v>
      </c>
      <c r="M40">
        <v>871</v>
      </c>
      <c r="N40">
        <v>721</v>
      </c>
      <c r="O40">
        <v>129</v>
      </c>
      <c r="Q40">
        <f t="shared" si="2"/>
        <v>850</v>
      </c>
      <c r="R40" s="46">
        <f t="shared" si="4"/>
        <v>70.833333333333329</v>
      </c>
    </row>
    <row r="41" spans="1:18">
      <c r="A41">
        <v>14</v>
      </c>
      <c r="B41" s="177">
        <v>100</v>
      </c>
      <c r="C41" s="12">
        <v>100</v>
      </c>
      <c r="D41" s="12">
        <v>100</v>
      </c>
      <c r="E41" s="12">
        <v>100</v>
      </c>
      <c r="F41" s="12">
        <v>100</v>
      </c>
      <c r="G41" s="333">
        <f t="shared" si="0"/>
        <v>250</v>
      </c>
      <c r="I41" s="394">
        <f t="shared" si="3"/>
        <v>71.166666666666671</v>
      </c>
      <c r="J41">
        <v>14</v>
      </c>
      <c r="K41" s="394">
        <f t="shared" si="1"/>
        <v>250</v>
      </c>
      <c r="M41">
        <v>874</v>
      </c>
      <c r="N41">
        <v>724</v>
      </c>
      <c r="O41">
        <v>130</v>
      </c>
      <c r="Q41">
        <f t="shared" si="2"/>
        <v>854</v>
      </c>
      <c r="R41" s="46">
        <f t="shared" si="4"/>
        <v>71.166666666666671</v>
      </c>
    </row>
    <row r="42" spans="1:18">
      <c r="A42">
        <v>15</v>
      </c>
      <c r="B42" s="177">
        <v>100</v>
      </c>
      <c r="C42" s="12">
        <v>100</v>
      </c>
      <c r="D42" s="12">
        <v>100</v>
      </c>
      <c r="E42" s="12">
        <v>80</v>
      </c>
      <c r="F42" s="12">
        <v>100</v>
      </c>
      <c r="G42" s="333">
        <f t="shared" si="0"/>
        <v>200</v>
      </c>
      <c r="I42" s="394">
        <f t="shared" si="3"/>
        <v>71.5</v>
      </c>
      <c r="J42">
        <v>15</v>
      </c>
      <c r="K42" s="394">
        <f t="shared" si="1"/>
        <v>200</v>
      </c>
      <c r="M42">
        <v>878</v>
      </c>
      <c r="N42">
        <v>728</v>
      </c>
      <c r="O42">
        <v>130</v>
      </c>
      <c r="Q42">
        <f t="shared" si="2"/>
        <v>858</v>
      </c>
      <c r="R42" s="46">
        <f t="shared" si="4"/>
        <v>71.5</v>
      </c>
    </row>
    <row r="43" spans="1:18">
      <c r="A43">
        <v>16</v>
      </c>
      <c r="B43" s="177">
        <v>100</v>
      </c>
      <c r="C43" s="12">
        <v>100</v>
      </c>
      <c r="D43" s="12">
        <v>80</v>
      </c>
      <c r="E43" s="12">
        <v>50</v>
      </c>
      <c r="F43" s="12">
        <v>100</v>
      </c>
      <c r="G43" s="333">
        <f t="shared" si="0"/>
        <v>125</v>
      </c>
      <c r="I43" s="394">
        <f t="shared" si="3"/>
        <v>71.666666666666671</v>
      </c>
      <c r="J43">
        <v>16</v>
      </c>
      <c r="K43" s="394">
        <f t="shared" si="1"/>
        <v>125</v>
      </c>
      <c r="M43">
        <v>880</v>
      </c>
      <c r="N43">
        <v>729</v>
      </c>
      <c r="O43">
        <v>131</v>
      </c>
      <c r="Q43">
        <f t="shared" si="2"/>
        <v>860</v>
      </c>
      <c r="R43" s="46">
        <f t="shared" si="4"/>
        <v>71.666666666666671</v>
      </c>
    </row>
    <row r="44" spans="1:18">
      <c r="A44">
        <v>17</v>
      </c>
      <c r="B44" s="177">
        <v>80</v>
      </c>
      <c r="C44" s="12">
        <v>90</v>
      </c>
      <c r="D44" s="12">
        <v>80</v>
      </c>
      <c r="E44" s="12">
        <v>20</v>
      </c>
      <c r="F44" s="12">
        <v>90</v>
      </c>
      <c r="G44" s="333">
        <f t="shared" si="0"/>
        <v>50</v>
      </c>
      <c r="I44" s="394">
        <f t="shared" si="3"/>
        <v>71.333333333333329</v>
      </c>
      <c r="J44">
        <v>17</v>
      </c>
      <c r="K44" s="394">
        <f t="shared" si="1"/>
        <v>50</v>
      </c>
      <c r="M44">
        <v>878</v>
      </c>
      <c r="N44">
        <v>726</v>
      </c>
      <c r="O44">
        <v>130</v>
      </c>
      <c r="Q44">
        <f t="shared" si="2"/>
        <v>856</v>
      </c>
      <c r="R44" s="46">
        <f t="shared" si="4"/>
        <v>71.333333333333329</v>
      </c>
    </row>
    <row r="45" spans="1:18">
      <c r="A45">
        <v>18</v>
      </c>
      <c r="B45" s="177">
        <v>70</v>
      </c>
      <c r="C45" s="12">
        <v>70</v>
      </c>
      <c r="D45" s="12">
        <v>70</v>
      </c>
      <c r="E45" s="12">
        <v>20</v>
      </c>
      <c r="F45" s="12">
        <v>70</v>
      </c>
      <c r="G45" s="333">
        <f t="shared" si="0"/>
        <v>50</v>
      </c>
      <c r="I45" s="394">
        <f t="shared" si="3"/>
        <v>70.916666666666671</v>
      </c>
      <c r="J45">
        <v>18</v>
      </c>
      <c r="K45" s="394">
        <f t="shared" si="1"/>
        <v>50</v>
      </c>
      <c r="M45">
        <v>873</v>
      </c>
      <c r="N45">
        <v>722</v>
      </c>
      <c r="O45">
        <v>129</v>
      </c>
      <c r="Q45">
        <f t="shared" si="2"/>
        <v>851</v>
      </c>
      <c r="R45" s="46">
        <f t="shared" si="4"/>
        <v>70.916666666666671</v>
      </c>
    </row>
    <row r="46" spans="1:18">
      <c r="A46">
        <v>19</v>
      </c>
      <c r="B46" s="177">
        <v>50</v>
      </c>
      <c r="C46" s="12">
        <v>60</v>
      </c>
      <c r="D46" s="12">
        <v>50</v>
      </c>
      <c r="E46" s="12">
        <v>0</v>
      </c>
      <c r="F46" s="12">
        <v>60</v>
      </c>
      <c r="G46" s="333">
        <f t="shared" si="0"/>
        <v>0</v>
      </c>
      <c r="I46" s="394">
        <f t="shared" si="3"/>
        <v>69.666666666666671</v>
      </c>
      <c r="J46">
        <v>19</v>
      </c>
      <c r="K46" s="394">
        <f t="shared" si="1"/>
        <v>0</v>
      </c>
      <c r="M46">
        <v>849</v>
      </c>
      <c r="N46">
        <v>708</v>
      </c>
      <c r="O46">
        <v>128</v>
      </c>
      <c r="Q46">
        <f t="shared" si="2"/>
        <v>836</v>
      </c>
      <c r="R46" s="46">
        <f t="shared" si="4"/>
        <v>69.666666666666671</v>
      </c>
    </row>
    <row r="47" spans="1:18">
      <c r="A47">
        <v>20</v>
      </c>
      <c r="B47" s="177">
        <v>50</v>
      </c>
      <c r="C47" s="12">
        <v>40</v>
      </c>
      <c r="D47" s="12">
        <v>50</v>
      </c>
      <c r="E47" s="12">
        <v>0</v>
      </c>
      <c r="F47" s="12">
        <v>40</v>
      </c>
      <c r="G47" s="333">
        <f t="shared" si="0"/>
        <v>0</v>
      </c>
      <c r="I47" s="394">
        <f t="shared" si="3"/>
        <v>35.416666666666664</v>
      </c>
      <c r="J47">
        <v>20</v>
      </c>
      <c r="K47" s="394">
        <f t="shared" si="1"/>
        <v>0</v>
      </c>
      <c r="M47">
        <v>491</v>
      </c>
      <c r="N47">
        <v>380</v>
      </c>
      <c r="O47">
        <v>45</v>
      </c>
      <c r="Q47">
        <f t="shared" si="2"/>
        <v>425</v>
      </c>
      <c r="R47" s="46">
        <f t="shared" si="4"/>
        <v>35.416666666666664</v>
      </c>
    </row>
    <row r="48" spans="1:18">
      <c r="A48">
        <v>21</v>
      </c>
      <c r="B48" s="177">
        <v>50</v>
      </c>
      <c r="C48" s="12">
        <v>40</v>
      </c>
      <c r="D48" s="12">
        <v>30</v>
      </c>
      <c r="E48" s="12">
        <v>0</v>
      </c>
      <c r="F48" s="12">
        <v>40</v>
      </c>
      <c r="G48" s="333">
        <f t="shared" si="0"/>
        <v>0</v>
      </c>
      <c r="I48" s="394">
        <f t="shared" si="3"/>
        <v>36.333333333333336</v>
      </c>
      <c r="J48">
        <v>21</v>
      </c>
      <c r="K48" s="394">
        <f t="shared" si="1"/>
        <v>0</v>
      </c>
      <c r="M48">
        <v>507</v>
      </c>
      <c r="N48">
        <v>392</v>
      </c>
      <c r="O48">
        <v>44</v>
      </c>
      <c r="Q48">
        <f t="shared" si="2"/>
        <v>436</v>
      </c>
      <c r="R48" s="46">
        <f t="shared" si="4"/>
        <v>36.333333333333336</v>
      </c>
    </row>
    <row r="49" spans="1:18">
      <c r="A49">
        <v>22</v>
      </c>
      <c r="B49" s="177">
        <v>50</v>
      </c>
      <c r="C49" s="12">
        <v>20</v>
      </c>
      <c r="D49" s="12">
        <v>20</v>
      </c>
      <c r="E49" s="12">
        <v>0</v>
      </c>
      <c r="F49" s="12">
        <v>20</v>
      </c>
      <c r="G49" s="333">
        <f t="shared" si="0"/>
        <v>0</v>
      </c>
      <c r="I49" s="394">
        <f t="shared" si="3"/>
        <v>36.666666666666664</v>
      </c>
      <c r="J49">
        <v>22</v>
      </c>
      <c r="K49" s="394">
        <f t="shared" si="1"/>
        <v>0</v>
      </c>
      <c r="M49">
        <v>516</v>
      </c>
      <c r="N49">
        <v>398</v>
      </c>
      <c r="O49">
        <v>42</v>
      </c>
      <c r="Q49">
        <f t="shared" si="2"/>
        <v>440</v>
      </c>
      <c r="R49" s="46">
        <f t="shared" si="4"/>
        <v>36.666666666666664</v>
      </c>
    </row>
    <row r="50" spans="1:18">
      <c r="A50">
        <v>23</v>
      </c>
      <c r="B50">
        <v>20</v>
      </c>
      <c r="C50">
        <v>10</v>
      </c>
      <c r="D50">
        <v>10</v>
      </c>
      <c r="E50">
        <v>0</v>
      </c>
      <c r="F50">
        <v>10</v>
      </c>
      <c r="G50" s="333">
        <f t="shared" si="0"/>
        <v>0</v>
      </c>
      <c r="I50" s="394">
        <f t="shared" si="3"/>
        <v>14</v>
      </c>
      <c r="J50">
        <v>23</v>
      </c>
      <c r="K50" s="394">
        <f t="shared" si="1"/>
        <v>0</v>
      </c>
      <c r="M50">
        <v>165</v>
      </c>
      <c r="N50">
        <v>143</v>
      </c>
      <c r="O50">
        <v>25</v>
      </c>
      <c r="Q50">
        <f t="shared" si="2"/>
        <v>168</v>
      </c>
      <c r="R50" s="46">
        <f t="shared" si="4"/>
        <v>14</v>
      </c>
    </row>
    <row r="51" spans="1:18">
      <c r="A51">
        <v>24</v>
      </c>
      <c r="B51">
        <v>20</v>
      </c>
      <c r="C51">
        <v>10</v>
      </c>
      <c r="D51">
        <v>0</v>
      </c>
      <c r="E51">
        <v>0</v>
      </c>
      <c r="F51">
        <v>10</v>
      </c>
      <c r="G51" s="333">
        <f t="shared" si="0"/>
        <v>0</v>
      </c>
      <c r="I51" s="394">
        <f t="shared" si="3"/>
        <v>13.166666666666666</v>
      </c>
      <c r="J51">
        <v>24</v>
      </c>
      <c r="K51" s="394">
        <f t="shared" si="1"/>
        <v>0</v>
      </c>
      <c r="M51">
        <v>156</v>
      </c>
      <c r="N51">
        <v>135</v>
      </c>
      <c r="O51">
        <v>23</v>
      </c>
      <c r="Q51">
        <f t="shared" si="2"/>
        <v>158</v>
      </c>
      <c r="R51" s="46">
        <f t="shared" si="4"/>
        <v>13.166666666666666</v>
      </c>
    </row>
    <row r="52" spans="1:18" s="371" customFormat="1">
      <c r="G52" s="372"/>
      <c r="I52" s="372"/>
      <c r="K52" s="372"/>
    </row>
    <row r="53" spans="1:18" s="371" customFormat="1">
      <c r="G53" s="372"/>
      <c r="I53" s="372"/>
      <c r="K53" s="372"/>
    </row>
    <row r="54" spans="1:18" s="371" customFormat="1">
      <c r="G54" s="372"/>
      <c r="I54" s="372"/>
      <c r="K54" s="372"/>
    </row>
    <row r="55" spans="1:18" s="371" customFormat="1">
      <c r="G55" s="372"/>
      <c r="I55" s="372"/>
      <c r="K55" s="372"/>
    </row>
    <row r="56" spans="1:18" s="371" customFormat="1">
      <c r="G56" s="372"/>
      <c r="I56" s="372"/>
      <c r="K56" s="372"/>
    </row>
    <row r="57" spans="1:18" s="371" customFormat="1">
      <c r="G57" s="372"/>
      <c r="I57" s="372"/>
      <c r="K57" s="372"/>
    </row>
    <row r="58" spans="1:18" s="371" customFormat="1">
      <c r="G58" s="372"/>
      <c r="I58" s="372"/>
      <c r="K58" s="372"/>
    </row>
    <row r="59" spans="1:18" s="371" customFormat="1">
      <c r="G59" s="372"/>
      <c r="I59" s="372"/>
      <c r="K59" s="372"/>
    </row>
    <row r="60" spans="1:18" s="371" customFormat="1">
      <c r="G60" s="372"/>
      <c r="I60" s="372"/>
      <c r="K60" s="372"/>
    </row>
    <row r="61" spans="1:18" s="371" customFormat="1">
      <c r="G61" s="372"/>
      <c r="I61" s="372"/>
      <c r="K61" s="372"/>
    </row>
    <row r="62" spans="1:18" s="371" customFormat="1">
      <c r="G62" s="372"/>
      <c r="I62" s="372"/>
      <c r="K62" s="372"/>
    </row>
    <row r="63" spans="1:18" s="371" customFormat="1">
      <c r="G63" s="372"/>
      <c r="I63" s="372"/>
      <c r="K63" s="372"/>
    </row>
    <row r="64" spans="1:18" s="371" customFormat="1">
      <c r="G64" s="372"/>
      <c r="I64" s="372"/>
      <c r="K64" s="372"/>
    </row>
    <row r="65" spans="1:11" s="371" customFormat="1">
      <c r="G65" s="372"/>
      <c r="I65" s="372"/>
      <c r="K65" s="372"/>
    </row>
    <row r="66" spans="1:11" s="371" customFormat="1">
      <c r="G66" s="372"/>
      <c r="I66" s="372"/>
      <c r="K66" s="372"/>
    </row>
    <row r="67" spans="1:11" s="371" customFormat="1">
      <c r="G67" s="372"/>
      <c r="I67" s="372"/>
      <c r="K67" s="372"/>
    </row>
    <row r="69" spans="1:11">
      <c r="A69" s="175" t="s">
        <v>222</v>
      </c>
    </row>
    <row r="70" spans="1:11">
      <c r="A70" s="191" t="s">
        <v>242</v>
      </c>
    </row>
    <row r="71" spans="1:11">
      <c r="A71" s="191" t="s">
        <v>243</v>
      </c>
    </row>
    <row r="72" spans="1:11">
      <c r="B72" s="325" t="s">
        <v>217</v>
      </c>
      <c r="C72" s="325"/>
    </row>
    <row r="73" spans="1:11">
      <c r="A73" s="296" t="s">
        <v>215</v>
      </c>
      <c r="B73" s="296" t="s">
        <v>223</v>
      </c>
      <c r="C73" s="296" t="s">
        <v>224</v>
      </c>
      <c r="D73" s="296" t="s">
        <v>216</v>
      </c>
    </row>
    <row r="74" spans="1:11">
      <c r="A74">
        <v>1</v>
      </c>
      <c r="B74" s="297">
        <v>40</v>
      </c>
      <c r="C74" s="217">
        <v>45</v>
      </c>
      <c r="D74" s="298">
        <v>42.5</v>
      </c>
    </row>
    <row r="75" spans="1:11">
      <c r="A75">
        <v>2</v>
      </c>
      <c r="B75" s="177">
        <v>60</v>
      </c>
      <c r="C75" s="12">
        <v>80</v>
      </c>
      <c r="D75" s="299">
        <v>70</v>
      </c>
    </row>
    <row r="76" spans="1:11">
      <c r="A76">
        <v>3</v>
      </c>
      <c r="B76" s="177">
        <v>96</v>
      </c>
      <c r="C76" s="12">
        <v>110</v>
      </c>
      <c r="D76" s="299">
        <v>103</v>
      </c>
    </row>
    <row r="77" spans="1:11">
      <c r="A77">
        <v>4</v>
      </c>
      <c r="B77" s="177">
        <v>119</v>
      </c>
      <c r="C77" s="12">
        <v>128</v>
      </c>
      <c r="D77" s="299">
        <v>123.5</v>
      </c>
    </row>
    <row r="78" spans="1:11">
      <c r="A78">
        <v>5</v>
      </c>
      <c r="B78" s="177">
        <v>128</v>
      </c>
      <c r="C78" s="12">
        <v>132</v>
      </c>
      <c r="D78" s="299">
        <v>130</v>
      </c>
    </row>
    <row r="79" spans="1:11">
      <c r="A79">
        <v>6</v>
      </c>
      <c r="B79" s="177">
        <v>136</v>
      </c>
      <c r="C79" s="12">
        <v>148</v>
      </c>
      <c r="D79" s="299">
        <v>142</v>
      </c>
    </row>
    <row r="80" spans="1:11">
      <c r="A80">
        <v>7</v>
      </c>
      <c r="B80" s="177">
        <v>144</v>
      </c>
      <c r="C80" s="12">
        <v>152</v>
      </c>
      <c r="D80" s="299">
        <v>148</v>
      </c>
    </row>
    <row r="81" spans="1:5">
      <c r="A81">
        <v>8</v>
      </c>
      <c r="B81" s="177">
        <v>152</v>
      </c>
      <c r="C81" s="12">
        <v>152</v>
      </c>
      <c r="D81" s="299">
        <v>152</v>
      </c>
    </row>
    <row r="82" spans="1:5">
      <c r="A82">
        <v>9</v>
      </c>
      <c r="B82" s="177">
        <v>153</v>
      </c>
      <c r="C82" s="12">
        <v>152</v>
      </c>
      <c r="D82" s="299">
        <v>152.5</v>
      </c>
    </row>
    <row r="83" spans="1:5">
      <c r="A83" s="303">
        <v>10</v>
      </c>
      <c r="B83">
        <v>153</v>
      </c>
      <c r="C83">
        <v>152</v>
      </c>
      <c r="D83" s="175">
        <v>152.5</v>
      </c>
    </row>
    <row r="84" spans="1:5">
      <c r="A84" s="303">
        <v>11</v>
      </c>
      <c r="B84">
        <v>154</v>
      </c>
      <c r="C84">
        <v>152</v>
      </c>
      <c r="D84" s="175">
        <v>153</v>
      </c>
    </row>
    <row r="85" spans="1:5">
      <c r="A85" s="303">
        <v>12</v>
      </c>
      <c r="B85">
        <v>154</v>
      </c>
      <c r="C85">
        <v>152</v>
      </c>
      <c r="D85" s="175">
        <v>153</v>
      </c>
    </row>
    <row r="86" spans="1:5">
      <c r="B86" s="46"/>
    </row>
    <row r="87" spans="1:5">
      <c r="A87" s="299"/>
      <c r="B87" s="299"/>
    </row>
    <row r="88" spans="1:5">
      <c r="A88" t="s">
        <v>218</v>
      </c>
      <c r="B88">
        <f>COUNTIF('IceBank Account'!I8:I31,"&gt;0")</f>
        <v>7</v>
      </c>
    </row>
    <row r="89" spans="1:5">
      <c r="A89" t="s">
        <v>219</v>
      </c>
      <c r="B89" s="326">
        <f>AVERAGEIF('IceBank Account'!I8:'IceBank Account'!I31,"&gt;0")/MAX('IceBank Account'!I8:'IceBank Account'!I31)</f>
        <v>0.80754414125200635</v>
      </c>
    </row>
    <row r="90" spans="1:5" ht="15" thickBot="1">
      <c r="A90" t="s">
        <v>220</v>
      </c>
      <c r="B90" s="304">
        <f>ROUND(B88*B89,0)</f>
        <v>6</v>
      </c>
    </row>
    <row r="91" spans="1:5" ht="15" thickBot="1">
      <c r="A91" s="329" t="s">
        <v>221</v>
      </c>
      <c r="B91" s="330">
        <f>VLOOKUP(B90,A74:D85,4)</f>
        <v>142</v>
      </c>
    </row>
    <row r="94" spans="1:5">
      <c r="A94" t="s">
        <v>248</v>
      </c>
      <c r="B94" s="304">
        <f>ROUNDUP('IceBank Account'!F4+'IceBank Account'!P4,0)</f>
        <v>148</v>
      </c>
      <c r="D94" t="s">
        <v>271</v>
      </c>
      <c r="E94" t="s">
        <v>272</v>
      </c>
    </row>
    <row r="95" spans="1:5">
      <c r="A95" t="s">
        <v>344</v>
      </c>
      <c r="B95" s="304">
        <f>MAX('IceBank Account'!C8:C31)</f>
        <v>250</v>
      </c>
      <c r="D95" t="s">
        <v>147</v>
      </c>
      <c r="E95" t="s">
        <v>273</v>
      </c>
    </row>
    <row r="101" spans="1:9">
      <c r="I101" t="s">
        <v>274</v>
      </c>
    </row>
    <row r="102" spans="1:9">
      <c r="A102" s="302" t="s">
        <v>275</v>
      </c>
      <c r="B102" s="302" t="s">
        <v>276</v>
      </c>
      <c r="C102" s="302" t="s">
        <v>277</v>
      </c>
      <c r="D102" s="379"/>
      <c r="E102" s="379"/>
      <c r="I102" t="s">
        <v>278</v>
      </c>
    </row>
    <row r="103" spans="1:9">
      <c r="A103" t="s">
        <v>279</v>
      </c>
      <c r="B103" s="327">
        <f>GSD!G26</f>
        <v>45670.975200000001</v>
      </c>
      <c r="C103" s="327">
        <f>GSD!G27</f>
        <v>37765.318722935779</v>
      </c>
      <c r="D103" s="380"/>
      <c r="E103" s="12"/>
      <c r="I103">
        <v>26</v>
      </c>
    </row>
    <row r="104" spans="1:9">
      <c r="A104" t="s">
        <v>280</v>
      </c>
      <c r="B104" s="327">
        <f>'GSD-SDTR (Option B)'!G33</f>
        <v>45711.715499999998</v>
      </c>
      <c r="C104" s="327">
        <f>'GSD-SDTR (Option B)'!G34</f>
        <v>33863.582675761812</v>
      </c>
      <c r="D104" s="380"/>
      <c r="E104" s="12"/>
    </row>
    <row r="105" spans="1:9">
      <c r="A105" t="s">
        <v>281</v>
      </c>
      <c r="B105" s="327">
        <f>GSDT!G28</f>
        <v>48697.91388</v>
      </c>
      <c r="C105" s="327">
        <f>GSDT!G29</f>
        <v>35260.840574999995</v>
      </c>
      <c r="D105" s="380"/>
      <c r="E105" s="12"/>
    </row>
    <row r="106" spans="1:9">
      <c r="A106" t="s">
        <v>282</v>
      </c>
      <c r="B106" s="327">
        <f>GSLD1!G26</f>
        <v>47315.673504000013</v>
      </c>
      <c r="C106" s="327">
        <f>GSLD1!G27</f>
        <v>37957.647017394498</v>
      </c>
      <c r="D106" s="380"/>
      <c r="E106" s="12"/>
    </row>
    <row r="107" spans="1:9">
      <c r="A107" t="s">
        <v>283</v>
      </c>
      <c r="B107" s="327">
        <f>'GSLD1-SDTR (Option B)'!G33</f>
        <v>47044.823759999999</v>
      </c>
      <c r="C107" s="327">
        <f>'GSLD1-SDTR (Option B)'!G34</f>
        <v>33264.89761252427</v>
      </c>
      <c r="D107" s="380"/>
      <c r="E107" s="12"/>
    </row>
    <row r="108" spans="1:9">
      <c r="A108" t="s">
        <v>284</v>
      </c>
      <c r="B108" s="327">
        <f>GSLD2!G26</f>
        <v>48496.913568000004</v>
      </c>
      <c r="C108" s="327">
        <f>GSLD2!G27</f>
        <v>38850.140580110085</v>
      </c>
      <c r="D108" s="380"/>
      <c r="E108" s="12"/>
    </row>
    <row r="109" spans="1:9">
      <c r="A109" t="s">
        <v>285</v>
      </c>
      <c r="B109" s="327">
        <f>'GSLD2-SDTR (Option B)'!G33</f>
        <v>54374.335884</v>
      </c>
      <c r="C109" s="327">
        <f>'GSLD2-SDTR (Option B)'!G34</f>
        <v>37014.746098520307</v>
      </c>
      <c r="D109" s="380"/>
      <c r="E109" s="12"/>
    </row>
    <row r="110" spans="1:9">
      <c r="A110" t="s">
        <v>286</v>
      </c>
      <c r="B110" s="327">
        <f>GSLDT1!G28</f>
        <v>49218.975432000007</v>
      </c>
      <c r="C110" s="327">
        <f>GSLDT1!G29</f>
        <v>35322.529418577979</v>
      </c>
      <c r="D110" s="380"/>
      <c r="E110" s="12"/>
    </row>
    <row r="111" spans="1:9">
      <c r="A111" t="s">
        <v>287</v>
      </c>
      <c r="B111" s="327">
        <f>GSLDT2!G28</f>
        <v>50322.225672</v>
      </c>
      <c r="C111" s="327">
        <f>GSLDT2!G29</f>
        <v>36240.589283715592</v>
      </c>
      <c r="D111" s="380"/>
      <c r="E111" s="12"/>
    </row>
    <row r="112" spans="1:9">
      <c r="A112" t="b">
        <v>0</v>
      </c>
      <c r="B112" t="b">
        <v>0</v>
      </c>
      <c r="C112" t="b">
        <v>0</v>
      </c>
      <c r="D112" s="12"/>
      <c r="E112" s="12"/>
    </row>
    <row r="115" spans="1:9" ht="18.5">
      <c r="A115" s="381" t="s">
        <v>351</v>
      </c>
      <c r="B115" s="381"/>
      <c r="C115" s="381"/>
      <c r="D115" s="381"/>
      <c r="E115" s="381"/>
      <c r="F115" s="381"/>
      <c r="G115" s="381"/>
      <c r="H115" s="381"/>
      <c r="I115" s="381"/>
    </row>
    <row r="116" spans="1:9">
      <c r="A116" s="376" t="s">
        <v>333</v>
      </c>
      <c r="B116" s="377" t="s">
        <v>78</v>
      </c>
      <c r="C116" s="377" t="s">
        <v>55</v>
      </c>
      <c r="D116" s="377" t="s">
        <v>56</v>
      </c>
      <c r="E116" s="377" t="s">
        <v>350</v>
      </c>
      <c r="F116" s="377" t="s">
        <v>347</v>
      </c>
      <c r="G116" s="377" t="s">
        <v>348</v>
      </c>
      <c r="H116" s="377" t="s">
        <v>349</v>
      </c>
      <c r="I116" s="377" t="s">
        <v>332</v>
      </c>
    </row>
    <row r="117" spans="1:9">
      <c r="A117" s="375">
        <v>1</v>
      </c>
      <c r="B117" s="304">
        <f>'IceBank Account'!I8</f>
        <v>0</v>
      </c>
      <c r="C117" s="304">
        <f>'IceBank Account'!$J8</f>
        <v>0</v>
      </c>
      <c r="D117" s="304">
        <f>'IceBank Account'!$K8</f>
        <v>0</v>
      </c>
      <c r="E117" s="46">
        <f>'Chiller Calcs'!J45</f>
        <v>96.158256880733944</v>
      </c>
      <c r="F117" s="46">
        <f>'Chiller Calcs'!Q45</f>
        <v>0</v>
      </c>
      <c r="G117" s="46">
        <f>'Chiller Calcs'!R45</f>
        <v>0</v>
      </c>
      <c r="H117" s="378">
        <f t="shared" ref="H117:H140" si="5">SUM(C117:G117)</f>
        <v>96.158256880733944</v>
      </c>
      <c r="I117" s="360">
        <f t="shared" ref="I117:I140" si="6">(DD_Eff*(C117+D117))+(IceMaking_Eff*(E117))+(Efficiency*(F117+G117))</f>
        <v>115.38990825688073</v>
      </c>
    </row>
    <row r="118" spans="1:9">
      <c r="A118" s="375">
        <v>2</v>
      </c>
      <c r="B118" s="304">
        <f>'IceBank Account'!I9</f>
        <v>0</v>
      </c>
      <c r="C118" s="304">
        <f>'IceBank Account'!$J9</f>
        <v>0</v>
      </c>
      <c r="D118" s="304">
        <f>'IceBank Account'!$K9</f>
        <v>0</v>
      </c>
      <c r="E118" s="46">
        <f>'Chiller Calcs'!J46</f>
        <v>96.158256880733944</v>
      </c>
      <c r="F118" s="46">
        <f>'Chiller Calcs'!Q46</f>
        <v>0</v>
      </c>
      <c r="G118" s="46">
        <f>'Chiller Calcs'!R46</f>
        <v>0</v>
      </c>
      <c r="H118" s="378">
        <f t="shared" si="5"/>
        <v>96.158256880733944</v>
      </c>
      <c r="I118" s="360">
        <f t="shared" si="6"/>
        <v>115.38990825688073</v>
      </c>
    </row>
    <row r="119" spans="1:9">
      <c r="A119" s="375">
        <v>3</v>
      </c>
      <c r="B119" s="304">
        <f>'IceBank Account'!I10</f>
        <v>0</v>
      </c>
      <c r="C119" s="304">
        <f>'IceBank Account'!$J10</f>
        <v>0</v>
      </c>
      <c r="D119" s="304">
        <f>'IceBank Account'!$K10</f>
        <v>0</v>
      </c>
      <c r="E119" s="46">
        <f>'Chiller Calcs'!J47</f>
        <v>96.158256880733944</v>
      </c>
      <c r="F119" s="46">
        <f>'Chiller Calcs'!Q47</f>
        <v>0</v>
      </c>
      <c r="G119" s="46">
        <f>'Chiller Calcs'!R47</f>
        <v>0</v>
      </c>
      <c r="H119" s="378">
        <f t="shared" si="5"/>
        <v>96.158256880733944</v>
      </c>
      <c r="I119" s="360">
        <f t="shared" si="6"/>
        <v>115.38990825688073</v>
      </c>
    </row>
    <row r="120" spans="1:9">
      <c r="A120" s="375">
        <v>4</v>
      </c>
      <c r="B120" s="304">
        <f>'IceBank Account'!I11</f>
        <v>0</v>
      </c>
      <c r="C120" s="304">
        <f>'IceBank Account'!$J11</f>
        <v>0</v>
      </c>
      <c r="D120" s="304">
        <f>'IceBank Account'!$K11</f>
        <v>0</v>
      </c>
      <c r="E120" s="46">
        <f>'Chiller Calcs'!J48</f>
        <v>96.158256880733944</v>
      </c>
      <c r="F120" s="46">
        <f>'Chiller Calcs'!Q48</f>
        <v>0</v>
      </c>
      <c r="G120" s="46">
        <f>'Chiller Calcs'!R48</f>
        <v>0</v>
      </c>
      <c r="H120" s="378">
        <f t="shared" si="5"/>
        <v>96.158256880733944</v>
      </c>
      <c r="I120" s="360">
        <f t="shared" si="6"/>
        <v>115.38990825688073</v>
      </c>
    </row>
    <row r="121" spans="1:9">
      <c r="A121" s="375">
        <v>5</v>
      </c>
      <c r="B121" s="304">
        <f>'IceBank Account'!I12</f>
        <v>0</v>
      </c>
      <c r="C121" s="304">
        <f>'IceBank Account'!$J12</f>
        <v>0</v>
      </c>
      <c r="D121" s="304">
        <f>'IceBank Account'!$K12</f>
        <v>0</v>
      </c>
      <c r="E121" s="46">
        <f>'Chiller Calcs'!J49</f>
        <v>0</v>
      </c>
      <c r="F121" s="46">
        <f>'Chiller Calcs'!Q49</f>
        <v>0</v>
      </c>
      <c r="G121" s="46">
        <f>'Chiller Calcs'!R49</f>
        <v>0</v>
      </c>
      <c r="H121" s="378">
        <f t="shared" si="5"/>
        <v>0</v>
      </c>
      <c r="I121" s="360">
        <f t="shared" si="6"/>
        <v>0</v>
      </c>
    </row>
    <row r="122" spans="1:9">
      <c r="A122" s="375">
        <v>6</v>
      </c>
      <c r="B122" s="304">
        <f>'IceBank Account'!I13</f>
        <v>0</v>
      </c>
      <c r="C122" s="304">
        <f>'IceBank Account'!$J13</f>
        <v>0</v>
      </c>
      <c r="D122" s="304">
        <f>'IceBank Account'!$K13</f>
        <v>0</v>
      </c>
      <c r="E122" s="46">
        <f>'Chiller Calcs'!J50</f>
        <v>0</v>
      </c>
      <c r="F122" s="46">
        <f>'Chiller Calcs'!Q50</f>
        <v>0</v>
      </c>
      <c r="G122" s="46">
        <f>'Chiller Calcs'!R50</f>
        <v>0</v>
      </c>
      <c r="H122" s="378">
        <f t="shared" si="5"/>
        <v>0</v>
      </c>
      <c r="I122" s="360">
        <f t="shared" si="6"/>
        <v>0</v>
      </c>
    </row>
    <row r="123" spans="1:9">
      <c r="A123" s="375">
        <v>7</v>
      </c>
      <c r="B123" s="304">
        <f>'IceBank Account'!I14</f>
        <v>0</v>
      </c>
      <c r="C123" s="304">
        <f>'IceBank Account'!$J14</f>
        <v>62.5</v>
      </c>
      <c r="D123" s="304">
        <f>'IceBank Account'!$K14</f>
        <v>0</v>
      </c>
      <c r="E123" s="46">
        <f>'Chiller Calcs'!J51</f>
        <v>0</v>
      </c>
      <c r="F123" s="46">
        <f>'Chiller Calcs'!Q51</f>
        <v>0</v>
      </c>
      <c r="G123" s="46">
        <f>'Chiller Calcs'!R51</f>
        <v>0</v>
      </c>
      <c r="H123" s="378">
        <f t="shared" si="5"/>
        <v>62.5</v>
      </c>
      <c r="I123" s="360">
        <f t="shared" si="6"/>
        <v>71.875</v>
      </c>
    </row>
    <row r="124" spans="1:9">
      <c r="A124" s="375">
        <v>8</v>
      </c>
      <c r="B124" s="304">
        <f>'IceBank Account'!I15</f>
        <v>0</v>
      </c>
      <c r="C124" s="304">
        <f>'IceBank Account'!$J15</f>
        <v>112.5</v>
      </c>
      <c r="D124" s="304">
        <f>'IceBank Account'!$K15</f>
        <v>0</v>
      </c>
      <c r="E124" s="46">
        <f>'Chiller Calcs'!J52</f>
        <v>0</v>
      </c>
      <c r="F124" s="46">
        <f>'Chiller Calcs'!Q52</f>
        <v>0</v>
      </c>
      <c r="G124" s="46">
        <f>'Chiller Calcs'!R52</f>
        <v>0</v>
      </c>
      <c r="H124" s="378">
        <f t="shared" si="5"/>
        <v>112.5</v>
      </c>
      <c r="I124" s="360">
        <f t="shared" si="6"/>
        <v>129.375</v>
      </c>
    </row>
    <row r="125" spans="1:9">
      <c r="A125" s="375">
        <v>9</v>
      </c>
      <c r="B125" s="304">
        <f>'IceBank Account'!I16</f>
        <v>39.564220183486242</v>
      </c>
      <c r="C125" s="304">
        <f>'IceBank Account'!$J16</f>
        <v>147.93577981651376</v>
      </c>
      <c r="D125" s="304">
        <f>'IceBank Account'!$K16</f>
        <v>0</v>
      </c>
      <c r="E125" s="46">
        <f>'Chiller Calcs'!J53</f>
        <v>0</v>
      </c>
      <c r="F125" s="46">
        <f>'Chiller Calcs'!Q53</f>
        <v>0</v>
      </c>
      <c r="G125" s="46">
        <f>'Chiller Calcs'!R53</f>
        <v>0</v>
      </c>
      <c r="H125" s="378">
        <f t="shared" si="5"/>
        <v>147.93577981651376</v>
      </c>
      <c r="I125" s="360">
        <f t="shared" si="6"/>
        <v>170.12614678899081</v>
      </c>
    </row>
    <row r="126" spans="1:9">
      <c r="A126" s="375">
        <v>10</v>
      </c>
      <c r="B126" s="304">
        <f>'IceBank Account'!I17</f>
        <v>77.064220183486242</v>
      </c>
      <c r="C126" s="304">
        <f>'IceBank Account'!$J17</f>
        <v>147.93577981651376</v>
      </c>
      <c r="D126" s="304">
        <f>'IceBank Account'!$K17</f>
        <v>0</v>
      </c>
      <c r="E126" s="46">
        <f>'Chiller Calcs'!J54</f>
        <v>0</v>
      </c>
      <c r="F126" s="46">
        <f>'Chiller Calcs'!Q54</f>
        <v>0</v>
      </c>
      <c r="G126" s="46">
        <f>'Chiller Calcs'!R54</f>
        <v>0</v>
      </c>
      <c r="H126" s="378">
        <f t="shared" si="5"/>
        <v>147.93577981651376</v>
      </c>
      <c r="I126" s="360">
        <f t="shared" si="6"/>
        <v>170.12614678899081</v>
      </c>
    </row>
    <row r="127" spans="1:9">
      <c r="A127" s="375">
        <v>11</v>
      </c>
      <c r="B127" s="304">
        <f>'IceBank Account'!I18</f>
        <v>102.06422018348624</v>
      </c>
      <c r="C127" s="304">
        <f>'IceBank Account'!$J18</f>
        <v>147.93577981651376</v>
      </c>
      <c r="D127" s="304">
        <f>'IceBank Account'!$K18</f>
        <v>0</v>
      </c>
      <c r="E127" s="46">
        <f>'Chiller Calcs'!J55</f>
        <v>0</v>
      </c>
      <c r="F127" s="46">
        <f>'Chiller Calcs'!Q55</f>
        <v>0</v>
      </c>
      <c r="G127" s="46">
        <f>'Chiller Calcs'!R55</f>
        <v>0</v>
      </c>
      <c r="H127" s="378">
        <f t="shared" si="5"/>
        <v>147.93577981651376</v>
      </c>
      <c r="I127" s="360">
        <f t="shared" si="6"/>
        <v>170.12614678899081</v>
      </c>
    </row>
    <row r="128" spans="1:9">
      <c r="A128" s="375">
        <v>12</v>
      </c>
      <c r="B128" s="304">
        <f>'IceBank Account'!I19</f>
        <v>102.06422018348624</v>
      </c>
      <c r="C128" s="304">
        <f>'IceBank Account'!$J19</f>
        <v>147.93577981651376</v>
      </c>
      <c r="D128" s="304">
        <f>'IceBank Account'!$K19</f>
        <v>0</v>
      </c>
      <c r="E128" s="46">
        <f>'Chiller Calcs'!J56</f>
        <v>0</v>
      </c>
      <c r="F128" s="46">
        <f>'Chiller Calcs'!Q56</f>
        <v>0</v>
      </c>
      <c r="G128" s="46">
        <f>'Chiller Calcs'!R56</f>
        <v>0</v>
      </c>
      <c r="H128" s="378">
        <f t="shared" si="5"/>
        <v>147.93577981651376</v>
      </c>
      <c r="I128" s="360">
        <f t="shared" si="6"/>
        <v>170.12614678899081</v>
      </c>
    </row>
    <row r="129" spans="1:9">
      <c r="A129" s="375">
        <v>13</v>
      </c>
      <c r="B129" s="304">
        <f>'IceBank Account'!I20</f>
        <v>102.06422018348624</v>
      </c>
      <c r="C129" s="304">
        <f>'IceBank Account'!$J20</f>
        <v>147.93577981651376</v>
      </c>
      <c r="D129" s="304">
        <f>'IceBank Account'!$K20</f>
        <v>0</v>
      </c>
      <c r="E129" s="46">
        <f>'Chiller Calcs'!J57</f>
        <v>0</v>
      </c>
      <c r="F129" s="46">
        <f>'Chiller Calcs'!Q57</f>
        <v>0</v>
      </c>
      <c r="G129" s="46">
        <f>'Chiller Calcs'!R57</f>
        <v>0</v>
      </c>
      <c r="H129" s="378">
        <f t="shared" si="5"/>
        <v>147.93577981651376</v>
      </c>
      <c r="I129" s="360">
        <f t="shared" si="6"/>
        <v>170.12614678899081</v>
      </c>
    </row>
    <row r="130" spans="1:9">
      <c r="A130" s="375">
        <v>14</v>
      </c>
      <c r="B130" s="304">
        <f>'IceBank Account'!I21</f>
        <v>102.06422018348624</v>
      </c>
      <c r="C130" s="304">
        <f>'IceBank Account'!$J21</f>
        <v>147.93577981651376</v>
      </c>
      <c r="D130" s="304">
        <f>'IceBank Account'!$K21</f>
        <v>0</v>
      </c>
      <c r="E130" s="46">
        <f>'Chiller Calcs'!J58</f>
        <v>0</v>
      </c>
      <c r="F130" s="46">
        <f>'Chiller Calcs'!Q58</f>
        <v>0</v>
      </c>
      <c r="G130" s="46">
        <f>'Chiller Calcs'!R58</f>
        <v>0</v>
      </c>
      <c r="H130" s="378">
        <f t="shared" si="5"/>
        <v>147.93577981651376</v>
      </c>
      <c r="I130" s="360">
        <f t="shared" si="6"/>
        <v>170.12614678899081</v>
      </c>
    </row>
    <row r="131" spans="1:9">
      <c r="A131" s="375">
        <v>15</v>
      </c>
      <c r="B131" s="304">
        <f>'IceBank Account'!I22</f>
        <v>52.064220183486242</v>
      </c>
      <c r="C131" s="304">
        <f>'IceBank Account'!$J22</f>
        <v>147.93577981651376</v>
      </c>
      <c r="D131" s="304">
        <f>'IceBank Account'!$K22</f>
        <v>0</v>
      </c>
      <c r="E131" s="46">
        <f>'Chiller Calcs'!J59</f>
        <v>0</v>
      </c>
      <c r="F131" s="46">
        <f>'Chiller Calcs'!Q59</f>
        <v>0</v>
      </c>
      <c r="G131" s="46">
        <f>'Chiller Calcs'!R59</f>
        <v>0</v>
      </c>
      <c r="H131" s="378">
        <f t="shared" si="5"/>
        <v>147.93577981651376</v>
      </c>
      <c r="I131" s="360">
        <f t="shared" si="6"/>
        <v>170.12614678899081</v>
      </c>
    </row>
    <row r="132" spans="1:9">
      <c r="A132" s="375">
        <v>16</v>
      </c>
      <c r="B132" s="304">
        <f>'IceBank Account'!I23</f>
        <v>0</v>
      </c>
      <c r="C132" s="304">
        <f>'IceBank Account'!$J23</f>
        <v>125</v>
      </c>
      <c r="D132" s="304">
        <f>'IceBank Account'!$K23</f>
        <v>0</v>
      </c>
      <c r="E132" s="46">
        <f>'Chiller Calcs'!J60</f>
        <v>0</v>
      </c>
      <c r="F132" s="46">
        <f>'Chiller Calcs'!Q60</f>
        <v>0</v>
      </c>
      <c r="G132" s="46">
        <f>'Chiller Calcs'!R60</f>
        <v>0</v>
      </c>
      <c r="H132" s="378">
        <f t="shared" si="5"/>
        <v>125</v>
      </c>
      <c r="I132" s="360">
        <f t="shared" si="6"/>
        <v>143.75</v>
      </c>
    </row>
    <row r="133" spans="1:9">
      <c r="A133" s="375">
        <v>17</v>
      </c>
      <c r="B133" s="304">
        <f>'IceBank Account'!I24</f>
        <v>0</v>
      </c>
      <c r="C133" s="304">
        <f>'IceBank Account'!$J24</f>
        <v>50</v>
      </c>
      <c r="D133" s="304">
        <f>'IceBank Account'!$K24</f>
        <v>0</v>
      </c>
      <c r="E133" s="46">
        <f>'Chiller Calcs'!J61</f>
        <v>0</v>
      </c>
      <c r="F133" s="46">
        <f>'Chiller Calcs'!Q61</f>
        <v>0</v>
      </c>
      <c r="G133" s="46">
        <f>'Chiller Calcs'!R61</f>
        <v>0</v>
      </c>
      <c r="H133" s="378">
        <f t="shared" si="5"/>
        <v>50</v>
      </c>
      <c r="I133" s="360">
        <f t="shared" si="6"/>
        <v>57.499999999999993</v>
      </c>
    </row>
    <row r="134" spans="1:9">
      <c r="A134" s="375">
        <v>18</v>
      </c>
      <c r="B134" s="304">
        <f>'IceBank Account'!I25</f>
        <v>0</v>
      </c>
      <c r="C134" s="304">
        <f>'IceBank Account'!$J25</f>
        <v>50</v>
      </c>
      <c r="D134" s="304">
        <f>'IceBank Account'!$K25</f>
        <v>0</v>
      </c>
      <c r="E134" s="46">
        <f>'Chiller Calcs'!J62</f>
        <v>0</v>
      </c>
      <c r="F134" s="46">
        <f>'Chiller Calcs'!Q62</f>
        <v>0</v>
      </c>
      <c r="G134" s="46">
        <f>'Chiller Calcs'!R62</f>
        <v>0</v>
      </c>
      <c r="H134" s="378">
        <f t="shared" si="5"/>
        <v>50</v>
      </c>
      <c r="I134" s="360">
        <f t="shared" si="6"/>
        <v>57.499999999999993</v>
      </c>
    </row>
    <row r="135" spans="1:9">
      <c r="A135" s="375">
        <v>19</v>
      </c>
      <c r="B135" s="304">
        <f>'IceBank Account'!I26</f>
        <v>0</v>
      </c>
      <c r="C135" s="304">
        <f>'IceBank Account'!$J26</f>
        <v>0</v>
      </c>
      <c r="D135" s="304">
        <f>'IceBank Account'!$K26</f>
        <v>0</v>
      </c>
      <c r="E135" s="46">
        <f>'Chiller Calcs'!J63</f>
        <v>0</v>
      </c>
      <c r="F135" s="46">
        <f>'Chiller Calcs'!Q63</f>
        <v>0</v>
      </c>
      <c r="G135" s="46">
        <f>'Chiller Calcs'!R63</f>
        <v>0</v>
      </c>
      <c r="H135" s="378">
        <f t="shared" si="5"/>
        <v>0</v>
      </c>
      <c r="I135" s="360">
        <f t="shared" si="6"/>
        <v>0</v>
      </c>
    </row>
    <row r="136" spans="1:9">
      <c r="A136" s="375">
        <v>20</v>
      </c>
      <c r="B136" s="304">
        <f>'IceBank Account'!I27</f>
        <v>0</v>
      </c>
      <c r="C136" s="304">
        <f>'IceBank Account'!$J27</f>
        <v>0</v>
      </c>
      <c r="D136" s="304">
        <f>'IceBank Account'!$K27</f>
        <v>0</v>
      </c>
      <c r="E136" s="46">
        <f>'Chiller Calcs'!J64</f>
        <v>0</v>
      </c>
      <c r="F136" s="46">
        <f>'Chiller Calcs'!Q64</f>
        <v>0</v>
      </c>
      <c r="G136" s="46">
        <f>'Chiller Calcs'!R64</f>
        <v>0</v>
      </c>
      <c r="H136" s="378">
        <f t="shared" si="5"/>
        <v>0</v>
      </c>
      <c r="I136" s="360">
        <f t="shared" si="6"/>
        <v>0</v>
      </c>
    </row>
    <row r="137" spans="1:9">
      <c r="A137" s="375">
        <v>21</v>
      </c>
      <c r="B137" s="304">
        <f>'IceBank Account'!I28</f>
        <v>0</v>
      </c>
      <c r="C137" s="304">
        <f>'IceBank Account'!$J28</f>
        <v>0</v>
      </c>
      <c r="D137" s="304">
        <f>'IceBank Account'!$K28</f>
        <v>0</v>
      </c>
      <c r="E137" s="46">
        <f>'Chiller Calcs'!J65</f>
        <v>0</v>
      </c>
      <c r="F137" s="46">
        <f>'Chiller Calcs'!Q65</f>
        <v>0</v>
      </c>
      <c r="G137" s="46">
        <f>'Chiller Calcs'!R65</f>
        <v>0</v>
      </c>
      <c r="H137" s="378">
        <f t="shared" si="5"/>
        <v>0</v>
      </c>
      <c r="I137" s="360">
        <f t="shared" si="6"/>
        <v>0</v>
      </c>
    </row>
    <row r="138" spans="1:9">
      <c r="A138" s="375">
        <v>22</v>
      </c>
      <c r="B138" s="304">
        <f>'IceBank Account'!I29</f>
        <v>0</v>
      </c>
      <c r="C138" s="304">
        <f>'IceBank Account'!$J29</f>
        <v>0</v>
      </c>
      <c r="D138" s="304">
        <f>'IceBank Account'!$K29</f>
        <v>0</v>
      </c>
      <c r="E138" s="46">
        <f>'Chiller Calcs'!J66</f>
        <v>0</v>
      </c>
      <c r="F138" s="46">
        <f>'Chiller Calcs'!Q66</f>
        <v>0</v>
      </c>
      <c r="G138" s="46">
        <f>'Chiller Calcs'!R66</f>
        <v>0</v>
      </c>
      <c r="H138" s="378">
        <f t="shared" si="5"/>
        <v>0</v>
      </c>
      <c r="I138" s="360">
        <f t="shared" si="6"/>
        <v>0</v>
      </c>
    </row>
    <row r="139" spans="1:9">
      <c r="A139" s="375">
        <v>23</v>
      </c>
      <c r="B139" s="304">
        <f>'IceBank Account'!I30</f>
        <v>0</v>
      </c>
      <c r="C139" s="304">
        <f>'IceBank Account'!$J30</f>
        <v>0</v>
      </c>
      <c r="D139" s="304">
        <f>'IceBank Account'!$K30</f>
        <v>0</v>
      </c>
      <c r="E139" s="46">
        <f>'Chiller Calcs'!J67</f>
        <v>96.158256880733944</v>
      </c>
      <c r="F139" s="46">
        <f>'Chiller Calcs'!Q67</f>
        <v>0</v>
      </c>
      <c r="G139" s="46">
        <f>'Chiller Calcs'!R67</f>
        <v>0</v>
      </c>
      <c r="H139" s="378">
        <f t="shared" si="5"/>
        <v>96.158256880733944</v>
      </c>
      <c r="I139" s="360">
        <f t="shared" si="6"/>
        <v>115.38990825688073</v>
      </c>
    </row>
    <row r="140" spans="1:9">
      <c r="A140" s="375">
        <v>24</v>
      </c>
      <c r="B140" s="304">
        <f>'IceBank Account'!I31</f>
        <v>0</v>
      </c>
      <c r="C140" s="304">
        <f>'IceBank Account'!$J31</f>
        <v>0</v>
      </c>
      <c r="D140" s="304">
        <f>'IceBank Account'!$K31</f>
        <v>0</v>
      </c>
      <c r="E140" s="46">
        <f>'Chiller Calcs'!J68</f>
        <v>96.158256880733944</v>
      </c>
      <c r="F140" s="46">
        <f>'Chiller Calcs'!Q68</f>
        <v>0</v>
      </c>
      <c r="G140" s="46">
        <f>'Chiller Calcs'!R68</f>
        <v>0</v>
      </c>
      <c r="H140" s="378">
        <f t="shared" si="5"/>
        <v>96.158256880733944</v>
      </c>
      <c r="I140" s="360">
        <f t="shared" si="6"/>
        <v>115.38990825688073</v>
      </c>
    </row>
    <row r="141" spans="1:9">
      <c r="A141" s="303"/>
    </row>
    <row r="142" spans="1:9">
      <c r="A142" s="382" t="s">
        <v>352</v>
      </c>
      <c r="B142" s="383">
        <f>SUM(B117:B140)</f>
        <v>576.94954128440361</v>
      </c>
      <c r="C142" s="383">
        <f t="shared" ref="C142:I142" si="7">SUM(C117:C140)</f>
        <v>1435.5504587155965</v>
      </c>
      <c r="D142" s="383">
        <f t="shared" si="7"/>
        <v>0</v>
      </c>
      <c r="E142" s="383">
        <f t="shared" si="7"/>
        <v>576.94954128440361</v>
      </c>
      <c r="F142" s="383">
        <f t="shared" si="7"/>
        <v>0</v>
      </c>
      <c r="G142" s="383">
        <f t="shared" si="7"/>
        <v>0</v>
      </c>
      <c r="H142" s="383">
        <f t="shared" si="7"/>
        <v>2012.5</v>
      </c>
      <c r="I142" s="384">
        <f t="shared" si="7"/>
        <v>2343.2224770642197</v>
      </c>
    </row>
    <row r="146" spans="1:10" ht="18.5">
      <c r="A146" s="381" t="s">
        <v>353</v>
      </c>
      <c r="B146" s="381"/>
      <c r="C146" s="381"/>
      <c r="D146" s="381"/>
      <c r="E146" s="381"/>
      <c r="F146" s="381"/>
      <c r="G146" s="381"/>
      <c r="H146" s="381"/>
      <c r="I146" s="381"/>
    </row>
    <row r="147" spans="1:10">
      <c r="A147" s="302" t="s">
        <v>356</v>
      </c>
    </row>
    <row r="148" spans="1:10">
      <c r="A148" t="s">
        <v>354</v>
      </c>
      <c r="B148" s="385">
        <f>AVERAGE($E$149:$E$157)/MAX($E$149:$E$157)</f>
        <v>0.41111111111111109</v>
      </c>
      <c r="E148" s="1" t="s">
        <v>359</v>
      </c>
      <c r="F148" s="1" t="s">
        <v>361</v>
      </c>
      <c r="G148" s="1" t="s">
        <v>362</v>
      </c>
      <c r="H148" s="1" t="s">
        <v>363</v>
      </c>
      <c r="I148" s="1" t="s">
        <v>364</v>
      </c>
      <c r="J148" s="1" t="s">
        <v>365</v>
      </c>
    </row>
    <row r="149" spans="1:10">
      <c r="A149" t="s">
        <v>355</v>
      </c>
      <c r="B149">
        <f>B148*9</f>
        <v>3.6999999999999997</v>
      </c>
      <c r="D149">
        <v>13</v>
      </c>
      <c r="E149" s="386">
        <f t="shared" ref="E149:E157" si="8">K40</f>
        <v>250</v>
      </c>
      <c r="F149" s="387">
        <f t="shared" ref="F149:F157" si="9">E149-G149</f>
        <v>133.51351351351349</v>
      </c>
      <c r="G149" s="387">
        <f t="shared" ref="G149:G157" si="10">IF($B$155&lt;E149,$B$154/$B$149,E149)</f>
        <v>116.4864864864865</v>
      </c>
      <c r="H149" s="391">
        <f>'IceBank Account'!$P$4+'IceBank Account'!$U$4</f>
        <v>0</v>
      </c>
      <c r="I149" s="391">
        <f>IF(G149&gt;H149,H149,G149)</f>
        <v>0</v>
      </c>
      <c r="J149" s="387">
        <f>G149-I149</f>
        <v>116.4864864864865</v>
      </c>
    </row>
    <row r="150" spans="1:10">
      <c r="A150" t="s">
        <v>221</v>
      </c>
      <c r="B150">
        <f>VLOOKUP(ROUND(B149,0),A74:D85,4)</f>
        <v>123.5</v>
      </c>
      <c r="D150">
        <v>14</v>
      </c>
      <c r="E150" s="386">
        <f t="shared" si="8"/>
        <v>250</v>
      </c>
      <c r="F150" s="387">
        <f t="shared" si="9"/>
        <v>133.51351351351349</v>
      </c>
      <c r="G150" s="387">
        <f t="shared" si="10"/>
        <v>116.4864864864865</v>
      </c>
      <c r="H150" s="391">
        <f>'IceBank Account'!$P$4+'IceBank Account'!$U$4</f>
        <v>0</v>
      </c>
      <c r="I150" s="391">
        <f t="shared" ref="I150:I157" si="11">IF(G150&gt;H150,H150,G150)</f>
        <v>0</v>
      </c>
      <c r="J150" s="387">
        <f t="shared" ref="J150:J157" si="12">G150-I150</f>
        <v>116.4864864864865</v>
      </c>
    </row>
    <row r="151" spans="1:10">
      <c r="A151" t="s">
        <v>369</v>
      </c>
      <c r="B151" s="383">
        <f>B150*'IceBank Account'!Q33</f>
        <v>494</v>
      </c>
      <c r="D151">
        <v>15</v>
      </c>
      <c r="E151" s="386">
        <f t="shared" si="8"/>
        <v>200</v>
      </c>
      <c r="F151" s="387">
        <f t="shared" si="9"/>
        <v>83.513513513513502</v>
      </c>
      <c r="G151" s="387">
        <f t="shared" si="10"/>
        <v>116.4864864864865</v>
      </c>
      <c r="H151" s="391">
        <f>'IceBank Account'!$P$4+'IceBank Account'!$U$4</f>
        <v>0</v>
      </c>
      <c r="I151" s="391">
        <f t="shared" si="11"/>
        <v>0</v>
      </c>
      <c r="J151" s="387">
        <f t="shared" si="12"/>
        <v>116.4864864864865</v>
      </c>
    </row>
    <row r="152" spans="1:10">
      <c r="D152">
        <v>16</v>
      </c>
      <c r="E152" s="386">
        <f t="shared" si="8"/>
        <v>125</v>
      </c>
      <c r="F152" s="387">
        <f t="shared" si="9"/>
        <v>8.5135135135135016</v>
      </c>
      <c r="G152" s="387">
        <f t="shared" si="10"/>
        <v>116.4864864864865</v>
      </c>
      <c r="H152" s="391">
        <f>'IceBank Account'!$P$4+'IceBank Account'!$U$4</f>
        <v>0</v>
      </c>
      <c r="I152" s="391">
        <f t="shared" si="11"/>
        <v>0</v>
      </c>
      <c r="J152" s="387">
        <f t="shared" si="12"/>
        <v>116.4864864864865</v>
      </c>
    </row>
    <row r="153" spans="1:10">
      <c r="A153" t="s">
        <v>357</v>
      </c>
      <c r="B153" s="383">
        <f>SUM($E$149:$E$157)</f>
        <v>925</v>
      </c>
      <c r="D153">
        <v>17</v>
      </c>
      <c r="E153" s="386">
        <f t="shared" si="8"/>
        <v>50</v>
      </c>
      <c r="F153" s="387">
        <f t="shared" si="9"/>
        <v>0</v>
      </c>
      <c r="G153" s="387">
        <f t="shared" si="10"/>
        <v>50</v>
      </c>
      <c r="H153" s="391">
        <f>'IceBank Account'!$P$4+'IceBank Account'!$U$4</f>
        <v>0</v>
      </c>
      <c r="I153" s="391">
        <f t="shared" si="11"/>
        <v>0</v>
      </c>
      <c r="J153" s="387">
        <f t="shared" si="12"/>
        <v>50</v>
      </c>
    </row>
    <row r="154" spans="1:10">
      <c r="A154" t="s">
        <v>358</v>
      </c>
      <c r="B154" s="383">
        <f>B153-B151</f>
        <v>431</v>
      </c>
      <c r="D154">
        <v>18</v>
      </c>
      <c r="E154" s="386">
        <f t="shared" si="8"/>
        <v>50</v>
      </c>
      <c r="F154" s="387">
        <f t="shared" si="9"/>
        <v>0</v>
      </c>
      <c r="G154" s="387">
        <f t="shared" si="10"/>
        <v>50</v>
      </c>
      <c r="H154" s="391">
        <f>'IceBank Account'!$P$4+'IceBank Account'!$U$4</f>
        <v>0</v>
      </c>
      <c r="I154" s="391">
        <f t="shared" si="11"/>
        <v>0</v>
      </c>
      <c r="J154" s="387">
        <f t="shared" si="12"/>
        <v>50</v>
      </c>
    </row>
    <row r="155" spans="1:10">
      <c r="A155" t="s">
        <v>360</v>
      </c>
      <c r="B155" s="216">
        <f>B154/B149</f>
        <v>116.4864864864865</v>
      </c>
      <c r="D155">
        <v>19</v>
      </c>
      <c r="E155" s="386">
        <f t="shared" si="8"/>
        <v>0</v>
      </c>
      <c r="F155" s="387">
        <f t="shared" si="9"/>
        <v>0</v>
      </c>
      <c r="G155" s="387">
        <f t="shared" si="10"/>
        <v>0</v>
      </c>
      <c r="H155" s="391">
        <f>'IceBank Account'!$P$4+'IceBank Account'!$U$4</f>
        <v>0</v>
      </c>
      <c r="I155" s="391">
        <f t="shared" si="11"/>
        <v>0</v>
      </c>
      <c r="J155" s="387">
        <f t="shared" si="12"/>
        <v>0</v>
      </c>
    </row>
    <row r="156" spans="1:10">
      <c r="A156" t="s">
        <v>366</v>
      </c>
      <c r="B156" s="216">
        <f>MAX(I149:I157)</f>
        <v>0</v>
      </c>
      <c r="D156">
        <v>20</v>
      </c>
      <c r="E156" s="386">
        <f t="shared" si="8"/>
        <v>0</v>
      </c>
      <c r="F156" s="387">
        <f t="shared" si="9"/>
        <v>0</v>
      </c>
      <c r="G156" s="387">
        <f t="shared" si="10"/>
        <v>0</v>
      </c>
      <c r="H156" s="391">
        <f>'IceBank Account'!$P$4+'IceBank Account'!$U$4</f>
        <v>0</v>
      </c>
      <c r="I156" s="391">
        <f t="shared" si="11"/>
        <v>0</v>
      </c>
      <c r="J156" s="387">
        <f t="shared" si="12"/>
        <v>0</v>
      </c>
    </row>
    <row r="157" spans="1:10" ht="15" thickBot="1">
      <c r="A157" t="s">
        <v>367</v>
      </c>
      <c r="B157" s="216">
        <f>MAX(J149:J157)</f>
        <v>116.4864864864865</v>
      </c>
      <c r="D157">
        <v>21</v>
      </c>
      <c r="E157" s="388">
        <f t="shared" si="8"/>
        <v>0</v>
      </c>
      <c r="F157" s="389">
        <f t="shared" si="9"/>
        <v>0</v>
      </c>
      <c r="G157" s="389">
        <f t="shared" si="10"/>
        <v>0</v>
      </c>
      <c r="H157" s="391">
        <f>'IceBank Account'!$P$4+'IceBank Account'!$U$4</f>
        <v>0</v>
      </c>
      <c r="I157" s="391">
        <f t="shared" si="11"/>
        <v>0</v>
      </c>
      <c r="J157" s="387">
        <f t="shared" si="12"/>
        <v>0</v>
      </c>
    </row>
    <row r="158" spans="1:10" ht="15.5" thickTop="1" thickBot="1">
      <c r="A158" s="392" t="s">
        <v>368</v>
      </c>
      <c r="B158" s="393">
        <f>(B156*Efficiency)+(B157*DD_Eff)</f>
        <v>133.95945945945945</v>
      </c>
      <c r="D158" s="249" t="s">
        <v>64</v>
      </c>
      <c r="E158" s="390">
        <f>SUM(E149:E157)</f>
        <v>925</v>
      </c>
      <c r="F158" s="390">
        <f t="shared" ref="F158:G158" si="13">SUM(F149:F157)</f>
        <v>359.05405405405395</v>
      </c>
      <c r="G158" s="390">
        <f t="shared" si="13"/>
        <v>565.94594594594605</v>
      </c>
    </row>
  </sheetData>
  <dataValidations count="2">
    <dataValidation type="list" allowBlank="1" showInputMessage="1" showErrorMessage="1" sqref="B23">
      <formula1>$D$94:$D$95</formula1>
    </dataValidation>
    <dataValidation type="list" allowBlank="1" showInputMessage="1" showErrorMessage="1" sqref="B25">
      <formula1>$B$27:$E$27</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AM72"/>
  <sheetViews>
    <sheetView topLeftCell="C44" zoomScale="85" zoomScaleNormal="85" workbookViewId="0">
      <selection activeCell="V45" sqref="V45"/>
    </sheetView>
  </sheetViews>
  <sheetFormatPr defaultColWidth="9.1796875" defaultRowHeight="14.5"/>
  <cols>
    <col min="1" max="1" width="9.1796875" style="47"/>
    <col min="2" max="2" width="2.1796875" style="47" bestFit="1" customWidth="1"/>
    <col min="3" max="4" width="9.1796875" style="47"/>
    <col min="5" max="5" width="10.54296875" style="47" bestFit="1" customWidth="1"/>
    <col min="6" max="7" width="11.81640625" style="47" bestFit="1" customWidth="1"/>
    <col min="8" max="10" width="9.1796875" style="47"/>
    <col min="11" max="12" width="11.453125" style="47" customWidth="1"/>
    <col min="13" max="17" width="9.1796875" style="47"/>
    <col min="18" max="18" width="10.54296875" style="47" bestFit="1" customWidth="1"/>
    <col min="19" max="20" width="11.81640625" style="47" bestFit="1" customWidth="1"/>
    <col min="21" max="23" width="9.1796875" style="47"/>
    <col min="24" max="24" width="10.54296875" style="47" bestFit="1" customWidth="1"/>
    <col min="25" max="26" width="11.81640625" style="47" bestFit="1" customWidth="1"/>
    <col min="27" max="29" width="9.1796875" style="47"/>
    <col min="30" max="30" width="10.54296875" style="47" bestFit="1" customWidth="1"/>
    <col min="31" max="32" width="11.81640625" style="47" bestFit="1" customWidth="1"/>
    <col min="33" max="35" width="9.1796875" style="47"/>
    <col min="36" max="36" width="10.54296875" style="47" bestFit="1" customWidth="1"/>
    <col min="37" max="38" width="11.81640625" style="47" bestFit="1" customWidth="1"/>
    <col min="39" max="16384" width="9.1796875" style="47"/>
  </cols>
  <sheetData>
    <row r="2" spans="1:39">
      <c r="E2" s="47" t="s">
        <v>34</v>
      </c>
      <c r="R2" s="47" t="s">
        <v>34</v>
      </c>
      <c r="X2" s="47" t="s">
        <v>34</v>
      </c>
      <c r="AD2" s="47" t="s">
        <v>34</v>
      </c>
      <c r="AJ2" s="47" t="s">
        <v>34</v>
      </c>
    </row>
    <row r="3" spans="1:39">
      <c r="E3" s="48" t="s">
        <v>35</v>
      </c>
      <c r="F3" s="47" t="s">
        <v>38</v>
      </c>
      <c r="G3" s="47" t="s">
        <v>39</v>
      </c>
      <c r="R3" s="48" t="s">
        <v>35</v>
      </c>
      <c r="S3" s="47" t="s">
        <v>38</v>
      </c>
      <c r="T3" s="47" t="s">
        <v>39</v>
      </c>
      <c r="X3" s="48" t="s">
        <v>35</v>
      </c>
      <c r="Y3" s="47" t="s">
        <v>38</v>
      </c>
      <c r="Z3" s="47" t="s">
        <v>39</v>
      </c>
      <c r="AD3" s="48" t="s">
        <v>35</v>
      </c>
      <c r="AE3" s="47" t="s">
        <v>38</v>
      </c>
      <c r="AF3" s="47" t="s">
        <v>39</v>
      </c>
      <c r="AJ3" s="48" t="s">
        <v>35</v>
      </c>
      <c r="AK3" s="47" t="s">
        <v>38</v>
      </c>
      <c r="AL3" s="47" t="s">
        <v>39</v>
      </c>
    </row>
    <row r="4" spans="1:39" ht="15" thickBot="1">
      <c r="C4" s="52" t="s">
        <v>26</v>
      </c>
      <c r="E4" s="49" t="s">
        <v>32</v>
      </c>
      <c r="F4" s="49" t="s">
        <v>33</v>
      </c>
      <c r="G4" s="49" t="s">
        <v>33</v>
      </c>
      <c r="R4" s="49" t="s">
        <v>32</v>
      </c>
      <c r="S4" s="49" t="s">
        <v>33</v>
      </c>
      <c r="T4" s="49" t="s">
        <v>33</v>
      </c>
      <c r="X4" s="49" t="s">
        <v>32</v>
      </c>
      <c r="Y4" s="49" t="s">
        <v>33</v>
      </c>
      <c r="Z4" s="49" t="s">
        <v>33</v>
      </c>
      <c r="AD4" s="49" t="s">
        <v>32</v>
      </c>
      <c r="AE4" s="49" t="s">
        <v>33</v>
      </c>
      <c r="AF4" s="49" t="s">
        <v>33</v>
      </c>
      <c r="AJ4" s="49" t="s">
        <v>32</v>
      </c>
      <c r="AK4" s="49" t="s">
        <v>33</v>
      </c>
      <c r="AL4" s="49" t="s">
        <v>33</v>
      </c>
    </row>
    <row r="5" spans="1:39">
      <c r="A5" s="47">
        <v>1</v>
      </c>
      <c r="B5" s="46" t="str">
        <f>'IceBank Account'!B8</f>
        <v>I</v>
      </c>
      <c r="C5" s="46">
        <f>'IceBank Account'!C8</f>
        <v>0</v>
      </c>
      <c r="E5" s="46">
        <f t="shared" ref="E5:E28" si="0">W45</f>
        <v>0</v>
      </c>
      <c r="F5" s="47">
        <f>'IceBank Account'!E8</f>
        <v>0.65</v>
      </c>
      <c r="G5" s="47">
        <f>'IceBank Account'!F8</f>
        <v>0</v>
      </c>
      <c r="H5" s="47">
        <f>F5+G5</f>
        <v>0.65</v>
      </c>
      <c r="I5" s="47">
        <f>IF(AND(B5&lt;&gt;"F",$E$33&gt;E5),0,E5)</f>
        <v>0</v>
      </c>
      <c r="J5" s="47">
        <f>IF(AND(B5="P",(IF(OR('IceBank Account'!$K$5&gt;0,'IceBank Account'!$K$6&gt;0),($E$33*H5*0.5),($E$33*H5)))&gt;C5),0,F5)</f>
        <v>0.65</v>
      </c>
      <c r="K5" s="47">
        <f>IF(AND(B5="P",($E$33*H5)&gt;C5),0,G5)</f>
        <v>0</v>
      </c>
      <c r="L5" s="47">
        <f>J5+K5</f>
        <v>0.65</v>
      </c>
      <c r="R5" s="47">
        <f>IF(B5="I",E5,
                IF(B5="F",I5,
                          IF((IF(OR('IceBank Account'!$K$5&gt;0,'IceBank Account'!$K$6&gt;0),('Chiller Calcs'!$E$33*'Chiller Calcs'!H5*0.5),
                                          ('Chiller Calcs'!$E$33*'Chiller Calcs'!H5)))+('IceBank Account'!$P$4*'IceBank Account'!G8)+('IceBank Account'!$U$4*'IceBank Account'!H8)&gt;='Chiller Calcs'!C5,0,E5)))</f>
        <v>0</v>
      </c>
      <c r="S5" s="47">
        <f>F5</f>
        <v>0.65</v>
      </c>
      <c r="T5" s="47">
        <f>G5</f>
        <v>0</v>
      </c>
      <c r="U5" s="47">
        <f>IF(AND(OR(B5="P",B5="F"),R5=0),0,IF(T5&gt;0,S5+T5,S5))</f>
        <v>0.65</v>
      </c>
      <c r="X5" s="47">
        <f>IF(B5="I",E5,
            IF(B5="F",R5,
                            IF((IF(OR('IceBank Account'!$K$5&gt;0,'IceBank Account'!$K$6&gt;0),('Chiller Calcs'!$R$33*'Chiller Calcs'!U5*0.5),
                                                                      ('Chiller Calcs'!$R$33*'Chiller Calcs'!U5)))+('IceBank Account'!$P$4*'IceBank Account'!G8)+('IceBank Account'!$U$4*'IceBank Account'!H8)&gt;='Chiller Calcs'!C5,0,R5)))</f>
        <v>0</v>
      </c>
      <c r="Y5" s="47">
        <f>F5</f>
        <v>0.65</v>
      </c>
      <c r="Z5" s="47">
        <f>K5</f>
        <v>0</v>
      </c>
      <c r="AA5" s="47">
        <f t="shared" ref="AA5:AA28" si="1">IF(AND(OR(B5="P",B5="F"),X5=0),0,IF(Z5&gt;0,Y5+Z5,Y5))</f>
        <v>0.65</v>
      </c>
      <c r="AD5" s="47">
        <f>IF(B5="I",E5,
               IF(B5="F",X5,
                            IF((IF(OR('IceBank Account'!$K$5&gt;0,'IceBank Account'!$K$6&gt;0),('Chiller Calcs'!$X$33*'Chiller Calcs'!AA5*0.5),
                                     ('Chiller Calcs'!$X$33*'Chiller Calcs'!AA5)))+('IceBank Account'!$P$4*'IceBank Account'!G8)+('IceBank Account'!$U$4*'IceBank Account'!H8)&gt;='Chiller Calcs'!C5,0,X5)))</f>
        <v>0</v>
      </c>
      <c r="AE5" s="47">
        <f>Y5</f>
        <v>0.65</v>
      </c>
      <c r="AF5" s="47">
        <f>Z5</f>
        <v>0</v>
      </c>
      <c r="AG5" s="47">
        <f t="shared" ref="AG5:AG28" si="2">IF(AND(OR(B5="P",B5="F"),AD5=0),0,IF(AF5&gt;0,AE5+AF5,AE5))</f>
        <v>0.65</v>
      </c>
      <c r="AJ5" s="47">
        <f>IF(B5="I",E5,
             IF(B5="F",AD5,
                        IF((IF(OR('IceBank Account'!$K$5&gt;0,'IceBank Account'!$K$6&gt;0),('Chiller Calcs'!$AD$33*'Chiller Calcs'!AG5*0.5),
                                         ('Chiller Calcs'!$AD$33*'Chiller Calcs'!AG5)))+('IceBank Account'!$P$4*'IceBank Account'!G8)+('IceBank Account'!$U$4*'IceBank Account'!H8)&gt;='Chiller Calcs'!C5,0,AD5)))</f>
        <v>0</v>
      </c>
      <c r="AK5" s="47">
        <f>AE5</f>
        <v>0.65</v>
      </c>
      <c r="AL5" s="47">
        <f>AF5</f>
        <v>0</v>
      </c>
      <c r="AM5" s="47">
        <f t="shared" ref="AM5:AM28" si="3">IF(AND(OR(B5="P",B5="F"),AJ5=0),0,IF(AL5&gt;0,AK5+AL5,AK5))</f>
        <v>0.65</v>
      </c>
    </row>
    <row r="6" spans="1:39">
      <c r="A6" s="47">
        <v>2</v>
      </c>
      <c r="B6" s="46" t="str">
        <f>'IceBank Account'!B9</f>
        <v>I</v>
      </c>
      <c r="C6" s="46">
        <f>'IceBank Account'!C9</f>
        <v>0</v>
      </c>
      <c r="E6" s="46">
        <f t="shared" si="0"/>
        <v>0</v>
      </c>
      <c r="F6" s="47">
        <f>'IceBank Account'!E9</f>
        <v>0.65</v>
      </c>
      <c r="G6" s="47">
        <f>'IceBank Account'!F9</f>
        <v>0</v>
      </c>
      <c r="H6" s="47">
        <f t="shared" ref="H6:H28" si="4">F6+G6</f>
        <v>0.65</v>
      </c>
      <c r="I6" s="47">
        <f t="shared" ref="I6:I28" si="5">IF(AND(B6&lt;&gt;"F",$E$33&gt;E6),0,E6)</f>
        <v>0</v>
      </c>
      <c r="J6" s="47">
        <f>IF(AND(B6="P",(IF(OR('IceBank Account'!$K$5&gt;0,'IceBank Account'!$K$6&gt;0),($E$33*H6*0.5),($E$33*H6)))&gt;C6),0,F6)</f>
        <v>0.65</v>
      </c>
      <c r="K6" s="47">
        <f t="shared" ref="K6:K28" si="6">IF(AND(B6="P",($E$33*H6)&gt;C6),0,G6)</f>
        <v>0</v>
      </c>
      <c r="L6" s="47">
        <f t="shared" ref="L6:L28" si="7">J6+K6</f>
        <v>0.65</v>
      </c>
      <c r="R6" s="47">
        <f>IF(B6="I",E6,
                IF(B6="F",I6,
                          IF((IF(OR('IceBank Account'!$K$5&gt;0,'IceBank Account'!$K$6&gt;0),('Chiller Calcs'!$E$33*'Chiller Calcs'!H6*0.5),
                                          ('Chiller Calcs'!$E$33*'Chiller Calcs'!H6)))+('IceBank Account'!$P$4*'IceBank Account'!G9)+('IceBank Account'!$U$4*'IceBank Account'!H9)&gt;='Chiller Calcs'!C6,0,E6)))</f>
        <v>0</v>
      </c>
      <c r="S6" s="47">
        <f t="shared" ref="S6:S28" si="8">F6</f>
        <v>0.65</v>
      </c>
      <c r="T6" s="47">
        <f t="shared" ref="T6:T28" si="9">G6</f>
        <v>0</v>
      </c>
      <c r="U6" s="47">
        <f t="shared" ref="U6:U28" si="10">IF(AND(OR(B6="P",B6="F"),R6=0),0,IF(T6&gt;0,S6+T6,S6))</f>
        <v>0.65</v>
      </c>
      <c r="X6" s="47">
        <f>IF(B6="I",E6,
            IF(B6="F",R6,
                            IF((IF(OR('IceBank Account'!$K$5&gt;0,'IceBank Account'!$K$6&gt;0),('Chiller Calcs'!$R$33*'Chiller Calcs'!U6*0.5),
                                                                      ('Chiller Calcs'!$R$33*'Chiller Calcs'!U6)))+('IceBank Account'!$P$4*'IceBank Account'!G9)+('IceBank Account'!$U$4*'IceBank Account'!H9)&gt;='Chiller Calcs'!C6,0,R6)))</f>
        <v>0</v>
      </c>
      <c r="Y6" s="47">
        <f t="shared" ref="Y6:Y28" si="11">F6</f>
        <v>0.65</v>
      </c>
      <c r="Z6" s="47">
        <f t="shared" ref="Z6:Z28" si="12">G6</f>
        <v>0</v>
      </c>
      <c r="AA6" s="47">
        <f t="shared" si="1"/>
        <v>0.65</v>
      </c>
      <c r="AD6" s="47">
        <f>IF(B6="I",E6,
               IF(B6="F",X6,
                            IF((IF(OR('IceBank Account'!$K$5&gt;0,'IceBank Account'!$K$6&gt;0),('Chiller Calcs'!$X$33*'Chiller Calcs'!AA6*0.5),
                                     ('Chiller Calcs'!$X$33*'Chiller Calcs'!AA6)))+('IceBank Account'!$P$4*'IceBank Account'!G9)+('IceBank Account'!$U$4*'IceBank Account'!H9)&gt;='Chiller Calcs'!C6,0,X6)))</f>
        <v>0</v>
      </c>
      <c r="AE6" s="47">
        <f t="shared" ref="AE6:AE28" si="13">Y6</f>
        <v>0.65</v>
      </c>
      <c r="AF6" s="47">
        <f t="shared" ref="AF6:AF28" si="14">Z6</f>
        <v>0</v>
      </c>
      <c r="AG6" s="47">
        <f t="shared" si="2"/>
        <v>0.65</v>
      </c>
      <c r="AJ6" s="47">
        <f>IF(B6="I",E6,
             IF(B6="F",AD6,
                        IF((IF(OR('IceBank Account'!$K$5&gt;0,'IceBank Account'!$K$6&gt;0),('Chiller Calcs'!$AD$33*'Chiller Calcs'!AG6*0.5),
                                         ('Chiller Calcs'!$AD$33*'Chiller Calcs'!AG6)))+('IceBank Account'!$P$4*'IceBank Account'!G9)+('IceBank Account'!$U$4*'IceBank Account'!H9)&gt;='Chiller Calcs'!C6,0,AD6)))</f>
        <v>0</v>
      </c>
      <c r="AK6" s="47">
        <f t="shared" ref="AK6:AK28" si="15">AE6</f>
        <v>0.65</v>
      </c>
      <c r="AL6" s="47">
        <f t="shared" ref="AL6:AL28" si="16">AF6</f>
        <v>0</v>
      </c>
      <c r="AM6" s="47">
        <f t="shared" si="3"/>
        <v>0.65</v>
      </c>
    </row>
    <row r="7" spans="1:39">
      <c r="A7" s="47">
        <v>3</v>
      </c>
      <c r="B7" s="46" t="str">
        <f>'IceBank Account'!B10</f>
        <v>I</v>
      </c>
      <c r="C7" s="46">
        <f>'IceBank Account'!C10</f>
        <v>0</v>
      </c>
      <c r="E7" s="46">
        <f t="shared" si="0"/>
        <v>0</v>
      </c>
      <c r="F7" s="47">
        <f>'IceBank Account'!E10</f>
        <v>0.65</v>
      </c>
      <c r="G7" s="47">
        <f>'IceBank Account'!F10</f>
        <v>0</v>
      </c>
      <c r="H7" s="47">
        <f t="shared" si="4"/>
        <v>0.65</v>
      </c>
      <c r="I7" s="47">
        <f t="shared" si="5"/>
        <v>0</v>
      </c>
      <c r="J7" s="47">
        <f>IF(AND(B7="P",(IF(OR('IceBank Account'!$K$5&gt;0,'IceBank Account'!$K$6&gt;0),($E$33*H7*0.5),($E$33*H7)))&gt;C7),0,F7)</f>
        <v>0.65</v>
      </c>
      <c r="K7" s="47">
        <f t="shared" si="6"/>
        <v>0</v>
      </c>
      <c r="L7" s="47">
        <f t="shared" si="7"/>
        <v>0.65</v>
      </c>
      <c r="R7" s="47">
        <f>IF(B7="I",E7,
                IF(B7="F",I7,
                          IF((IF(OR('IceBank Account'!$K$5&gt;0,'IceBank Account'!$K$6&gt;0),('Chiller Calcs'!$E$33*'Chiller Calcs'!H7*0.5),
                                          ('Chiller Calcs'!$E$33*'Chiller Calcs'!H7)))+('IceBank Account'!$P$4*'IceBank Account'!G10)+('IceBank Account'!$U$4*'IceBank Account'!H10)&gt;='Chiller Calcs'!C7,0,E7)))</f>
        <v>0</v>
      </c>
      <c r="S7" s="47">
        <f t="shared" si="8"/>
        <v>0.65</v>
      </c>
      <c r="T7" s="47">
        <f t="shared" si="9"/>
        <v>0</v>
      </c>
      <c r="U7" s="47">
        <f t="shared" si="10"/>
        <v>0.65</v>
      </c>
      <c r="X7" s="47">
        <f>IF(B7="I",E7,
            IF(B7="F",R7,
                            IF((IF(OR('IceBank Account'!$K$5&gt;0,'IceBank Account'!$K$6&gt;0),('Chiller Calcs'!$R$33*'Chiller Calcs'!U7*0.5),
                                                                      ('Chiller Calcs'!$R$33*'Chiller Calcs'!U7)))+('IceBank Account'!$P$4*'IceBank Account'!G10)+('IceBank Account'!$U$4*'IceBank Account'!H10)&gt;='Chiller Calcs'!C7,0,R7)))</f>
        <v>0</v>
      </c>
      <c r="Y7" s="47">
        <f t="shared" si="11"/>
        <v>0.65</v>
      </c>
      <c r="Z7" s="47">
        <f t="shared" si="12"/>
        <v>0</v>
      </c>
      <c r="AA7" s="47">
        <f t="shared" si="1"/>
        <v>0.65</v>
      </c>
      <c r="AD7" s="47">
        <f>IF(B7="I",E7,
               IF(B7="F",X7,
                            IF((IF(OR('IceBank Account'!$K$5&gt;0,'IceBank Account'!$K$6&gt;0),('Chiller Calcs'!$X$33*'Chiller Calcs'!AA7*0.5),
                                     ('Chiller Calcs'!$X$33*'Chiller Calcs'!AA7)))+('IceBank Account'!$P$4*'IceBank Account'!G10)+('IceBank Account'!$U$4*'IceBank Account'!H10)&gt;='Chiller Calcs'!C7,0,X7)))</f>
        <v>0</v>
      </c>
      <c r="AE7" s="47">
        <f t="shared" si="13"/>
        <v>0.65</v>
      </c>
      <c r="AF7" s="47">
        <f t="shared" si="14"/>
        <v>0</v>
      </c>
      <c r="AG7" s="47">
        <f t="shared" si="2"/>
        <v>0.65</v>
      </c>
      <c r="AJ7" s="47">
        <f>IF(B7="I",E7,
             IF(B7="F",AD7,
                        IF((IF(OR('IceBank Account'!$K$5&gt;0,'IceBank Account'!$K$6&gt;0),('Chiller Calcs'!$AD$33*'Chiller Calcs'!AG7*0.5),
                                         ('Chiller Calcs'!$AD$33*'Chiller Calcs'!AG7)))+('IceBank Account'!$P$4*'IceBank Account'!G10)+('IceBank Account'!$U$4*'IceBank Account'!H10)&gt;='Chiller Calcs'!C7,0,AD7)))</f>
        <v>0</v>
      </c>
      <c r="AK7" s="47">
        <f t="shared" si="15"/>
        <v>0.65</v>
      </c>
      <c r="AL7" s="47">
        <f t="shared" si="16"/>
        <v>0</v>
      </c>
      <c r="AM7" s="47">
        <f t="shared" si="3"/>
        <v>0.65</v>
      </c>
    </row>
    <row r="8" spans="1:39">
      <c r="A8" s="47">
        <v>4</v>
      </c>
      <c r="B8" s="46" t="str">
        <f>'IceBank Account'!B11</f>
        <v>I</v>
      </c>
      <c r="C8" s="46">
        <f>'IceBank Account'!C11</f>
        <v>0</v>
      </c>
      <c r="E8" s="46">
        <f t="shared" si="0"/>
        <v>0</v>
      </c>
      <c r="F8" s="47">
        <f>'IceBank Account'!E11</f>
        <v>0.65</v>
      </c>
      <c r="G8" s="47">
        <f>'IceBank Account'!F11</f>
        <v>0</v>
      </c>
      <c r="H8" s="47">
        <f t="shared" si="4"/>
        <v>0.65</v>
      </c>
      <c r="I8" s="47">
        <f t="shared" si="5"/>
        <v>0</v>
      </c>
      <c r="J8" s="47">
        <f>IF(AND(B8="P",(IF(OR('IceBank Account'!$K$5&gt;0,'IceBank Account'!$K$6&gt;0),($E$33*H8*0.5),($E$33*H8)))&gt;C8),0,F8)</f>
        <v>0.65</v>
      </c>
      <c r="K8" s="47">
        <f t="shared" si="6"/>
        <v>0</v>
      </c>
      <c r="L8" s="47">
        <f t="shared" si="7"/>
        <v>0.65</v>
      </c>
      <c r="R8" s="47">
        <f>IF(B8="I",E8,
                IF(B8="F",I8,
                          IF((IF(OR('IceBank Account'!$K$5&gt;0,'IceBank Account'!$K$6&gt;0),('Chiller Calcs'!$E$33*'Chiller Calcs'!H8*0.5),
                                          ('Chiller Calcs'!$E$33*'Chiller Calcs'!H8)))+('IceBank Account'!$P$4*'IceBank Account'!G11)+('IceBank Account'!$U$4*'IceBank Account'!H11)&gt;='Chiller Calcs'!C8,0,E8)))</f>
        <v>0</v>
      </c>
      <c r="S8" s="47">
        <f t="shared" si="8"/>
        <v>0.65</v>
      </c>
      <c r="T8" s="47">
        <f t="shared" si="9"/>
        <v>0</v>
      </c>
      <c r="U8" s="47">
        <f t="shared" si="10"/>
        <v>0.65</v>
      </c>
      <c r="X8" s="47">
        <f>IF(B8="I",E8,
            IF(B8="F",R8,
                            IF((IF(OR('IceBank Account'!$K$5&gt;0,'IceBank Account'!$K$6&gt;0),('Chiller Calcs'!$R$33*'Chiller Calcs'!U8*0.5),
                                                                      ('Chiller Calcs'!$R$33*'Chiller Calcs'!U8)))+('IceBank Account'!$P$4*'IceBank Account'!G11)+('IceBank Account'!$U$4*'IceBank Account'!H11)&gt;='Chiller Calcs'!C8,0,R8)))</f>
        <v>0</v>
      </c>
      <c r="Y8" s="47">
        <f t="shared" si="11"/>
        <v>0.65</v>
      </c>
      <c r="Z8" s="47">
        <f t="shared" si="12"/>
        <v>0</v>
      </c>
      <c r="AA8" s="47">
        <f t="shared" si="1"/>
        <v>0.65</v>
      </c>
      <c r="AD8" s="47">
        <f>IF(B8="I",E8,
               IF(B8="F",X8,
                            IF((IF(OR('IceBank Account'!$K$5&gt;0,'IceBank Account'!$K$6&gt;0),('Chiller Calcs'!$X$33*'Chiller Calcs'!AA8*0.5),
                                     ('Chiller Calcs'!$X$33*'Chiller Calcs'!AA8)))+('IceBank Account'!$P$4*'IceBank Account'!G11)+('IceBank Account'!$U$4*'IceBank Account'!H11)&gt;='Chiller Calcs'!C8,0,X8)))</f>
        <v>0</v>
      </c>
      <c r="AE8" s="47">
        <f t="shared" si="13"/>
        <v>0.65</v>
      </c>
      <c r="AF8" s="47">
        <f t="shared" si="14"/>
        <v>0</v>
      </c>
      <c r="AG8" s="47">
        <f t="shared" si="2"/>
        <v>0.65</v>
      </c>
      <c r="AJ8" s="47">
        <f>IF(B8="I",E8,
             IF(B8="F",AD8,
                        IF((IF(OR('IceBank Account'!$K$5&gt;0,'IceBank Account'!$K$6&gt;0),('Chiller Calcs'!$AD$33*'Chiller Calcs'!AG8*0.5),
                                         ('Chiller Calcs'!$AD$33*'Chiller Calcs'!AG8)))+('IceBank Account'!$P$4*'IceBank Account'!G11)+('IceBank Account'!$U$4*'IceBank Account'!H11)&gt;='Chiller Calcs'!C8,0,AD8)))</f>
        <v>0</v>
      </c>
      <c r="AK8" s="47">
        <f t="shared" si="15"/>
        <v>0.65</v>
      </c>
      <c r="AL8" s="47">
        <f t="shared" si="16"/>
        <v>0</v>
      </c>
      <c r="AM8" s="47">
        <f t="shared" si="3"/>
        <v>0.65</v>
      </c>
    </row>
    <row r="9" spans="1:39">
      <c r="A9" s="47">
        <v>5</v>
      </c>
      <c r="B9" s="46" t="str">
        <f>'IceBank Account'!B12</f>
        <v>P</v>
      </c>
      <c r="C9" s="46">
        <f>'IceBank Account'!C12</f>
        <v>0</v>
      </c>
      <c r="E9" s="46">
        <f t="shared" si="0"/>
        <v>0</v>
      </c>
      <c r="F9" s="47">
        <f>'IceBank Account'!E12</f>
        <v>1</v>
      </c>
      <c r="G9" s="47">
        <f>'IceBank Account'!F12</f>
        <v>0</v>
      </c>
      <c r="H9" s="47">
        <f t="shared" si="4"/>
        <v>1</v>
      </c>
      <c r="I9" s="47">
        <f t="shared" si="5"/>
        <v>0</v>
      </c>
      <c r="J9" s="47">
        <f>IF(AND(B9="P",(IF(OR('IceBank Account'!$K$5&gt;0,'IceBank Account'!$K$6&gt;0),($E$33*H9*0.5),($E$33*H9)))&gt;C9),0,F9)</f>
        <v>0</v>
      </c>
      <c r="K9" s="47">
        <f t="shared" si="6"/>
        <v>0</v>
      </c>
      <c r="L9" s="47">
        <f t="shared" si="7"/>
        <v>0</v>
      </c>
      <c r="R9" s="47">
        <f>IF(B9="I",E9,
                IF(B9="F",I9,
                          IF((IF(OR('IceBank Account'!$K$5&gt;0,'IceBank Account'!$K$6&gt;0),('Chiller Calcs'!$E$33*'Chiller Calcs'!H9*0.5),
                                          ('Chiller Calcs'!$E$33*'Chiller Calcs'!H9)))+('IceBank Account'!$P$4*'IceBank Account'!G12)+('IceBank Account'!$U$4*'IceBank Account'!H12)&gt;='Chiller Calcs'!C9,0,E9)))</f>
        <v>0</v>
      </c>
      <c r="S9" s="47">
        <f t="shared" si="8"/>
        <v>1</v>
      </c>
      <c r="T9" s="47">
        <f t="shared" si="9"/>
        <v>0</v>
      </c>
      <c r="U9" s="47">
        <f t="shared" si="10"/>
        <v>0</v>
      </c>
      <c r="X9" s="47">
        <f>IF(B9="I",E9,
            IF(B9="F",R9,
                            IF((IF(OR('IceBank Account'!$K$5&gt;0,'IceBank Account'!$K$6&gt;0),('Chiller Calcs'!$R$33*'Chiller Calcs'!U9*0.5),
                                                                      ('Chiller Calcs'!$R$33*'Chiller Calcs'!U9)))+('IceBank Account'!$P$4*'IceBank Account'!G12)+('IceBank Account'!$U$4*'IceBank Account'!H12)&gt;='Chiller Calcs'!C9,0,R9)))</f>
        <v>0</v>
      </c>
      <c r="Y9" s="47">
        <f t="shared" si="11"/>
        <v>1</v>
      </c>
      <c r="Z9" s="47">
        <f t="shared" si="12"/>
        <v>0</v>
      </c>
      <c r="AA9" s="47">
        <f t="shared" si="1"/>
        <v>0</v>
      </c>
      <c r="AD9" s="47">
        <f>IF(B9="I",E9,
               IF(B9="F",X9,
                            IF((IF(OR('IceBank Account'!$K$5&gt;0,'IceBank Account'!$K$6&gt;0),('Chiller Calcs'!$X$33*'Chiller Calcs'!AA9*0.5),
                                     ('Chiller Calcs'!$X$33*'Chiller Calcs'!AA9)))+('IceBank Account'!$P$4*'IceBank Account'!G12)+('IceBank Account'!$U$4*'IceBank Account'!H12)&gt;='Chiller Calcs'!C9,0,X9)))</f>
        <v>0</v>
      </c>
      <c r="AE9" s="47">
        <f t="shared" si="13"/>
        <v>1</v>
      </c>
      <c r="AF9" s="47">
        <f t="shared" si="14"/>
        <v>0</v>
      </c>
      <c r="AG9" s="47">
        <f t="shared" si="2"/>
        <v>0</v>
      </c>
      <c r="AJ9" s="47">
        <f>IF(B9="I",E9,
             IF(B9="F",AD9,
                        IF((IF(OR('IceBank Account'!$K$5&gt;0,'IceBank Account'!$K$6&gt;0),('Chiller Calcs'!$AD$33*'Chiller Calcs'!AG9*0.5),
                                         ('Chiller Calcs'!$AD$33*'Chiller Calcs'!AG9)))+('IceBank Account'!$P$4*'IceBank Account'!G12)+('IceBank Account'!$U$4*'IceBank Account'!H12)&gt;='Chiller Calcs'!C9,0,AD9)))</f>
        <v>0</v>
      </c>
      <c r="AK9" s="47">
        <f t="shared" si="15"/>
        <v>1</v>
      </c>
      <c r="AL9" s="47">
        <f t="shared" si="16"/>
        <v>0</v>
      </c>
      <c r="AM9" s="47">
        <f t="shared" si="3"/>
        <v>0</v>
      </c>
    </row>
    <row r="10" spans="1:39">
      <c r="A10" s="47">
        <v>6</v>
      </c>
      <c r="B10" s="46" t="str">
        <f>'IceBank Account'!B13</f>
        <v>P</v>
      </c>
      <c r="C10" s="46">
        <f>'IceBank Account'!C13</f>
        <v>0</v>
      </c>
      <c r="E10" s="46">
        <f t="shared" si="0"/>
        <v>0</v>
      </c>
      <c r="F10" s="47">
        <f>'IceBank Account'!E13</f>
        <v>1</v>
      </c>
      <c r="G10" s="47">
        <f>'IceBank Account'!F13</f>
        <v>0</v>
      </c>
      <c r="H10" s="47">
        <f t="shared" si="4"/>
        <v>1</v>
      </c>
      <c r="I10" s="47">
        <f t="shared" si="5"/>
        <v>0</v>
      </c>
      <c r="J10" s="47">
        <f>IF(AND(B10="P",(IF(OR('IceBank Account'!$K$5&gt;0,'IceBank Account'!$K$6&gt;0),($E$33*H10*0.5),($E$33*H10)))&gt;C10),0,F10)</f>
        <v>0</v>
      </c>
      <c r="K10" s="47">
        <f t="shared" si="6"/>
        <v>0</v>
      </c>
      <c r="L10" s="47">
        <f t="shared" si="7"/>
        <v>0</v>
      </c>
      <c r="R10" s="47">
        <f>IF(B10="I",E10,
                IF(B10="F",I10,
                          IF((IF(OR('IceBank Account'!$K$5&gt;0,'IceBank Account'!$K$6&gt;0),('Chiller Calcs'!$E$33*'Chiller Calcs'!H10*0.5),
                                          ('Chiller Calcs'!$E$33*'Chiller Calcs'!H10)))+('IceBank Account'!$P$4*'IceBank Account'!G13)+('IceBank Account'!$U$4*'IceBank Account'!H13)&gt;='Chiller Calcs'!C10,0,E10)))</f>
        <v>0</v>
      </c>
      <c r="S10" s="47">
        <f t="shared" si="8"/>
        <v>1</v>
      </c>
      <c r="T10" s="47">
        <f t="shared" si="9"/>
        <v>0</v>
      </c>
      <c r="U10" s="47">
        <f t="shared" si="10"/>
        <v>0</v>
      </c>
      <c r="X10" s="47">
        <f>IF(B10="I",E10,
            IF(B10="F",R10,
                            IF((IF(OR('IceBank Account'!$K$5&gt;0,'IceBank Account'!$K$6&gt;0),('Chiller Calcs'!$R$33*'Chiller Calcs'!U10*0.5),
                                                                      ('Chiller Calcs'!$R$33*'Chiller Calcs'!U10)))+('IceBank Account'!$P$4*'IceBank Account'!G13)+('IceBank Account'!$U$4*'IceBank Account'!H13)&gt;='Chiller Calcs'!C10,0,R10)))</f>
        <v>0</v>
      </c>
      <c r="Y10" s="47">
        <f t="shared" si="11"/>
        <v>1</v>
      </c>
      <c r="Z10" s="47">
        <f t="shared" si="12"/>
        <v>0</v>
      </c>
      <c r="AA10" s="47">
        <f t="shared" si="1"/>
        <v>0</v>
      </c>
      <c r="AD10" s="47">
        <f>IF(B10="I",E10,
               IF(B10="F",X10,
                            IF((IF(OR('IceBank Account'!$K$5&gt;0,'IceBank Account'!$K$6&gt;0),('Chiller Calcs'!$X$33*'Chiller Calcs'!AA10*0.5),
                                     ('Chiller Calcs'!$X$33*'Chiller Calcs'!AA10)))+('IceBank Account'!$P$4*'IceBank Account'!G13)+('IceBank Account'!$U$4*'IceBank Account'!H13)&gt;='Chiller Calcs'!C10,0,X10)))</f>
        <v>0</v>
      </c>
      <c r="AE10" s="47">
        <f t="shared" si="13"/>
        <v>1</v>
      </c>
      <c r="AF10" s="47">
        <f t="shared" si="14"/>
        <v>0</v>
      </c>
      <c r="AG10" s="47">
        <f t="shared" si="2"/>
        <v>0</v>
      </c>
      <c r="AJ10" s="47">
        <f>IF(B10="I",E10,
             IF(B10="F",AD10,
                        IF((IF(OR('IceBank Account'!$K$5&gt;0,'IceBank Account'!$K$6&gt;0),('Chiller Calcs'!$AD$33*'Chiller Calcs'!AG10*0.5),
                                         ('Chiller Calcs'!$AD$33*'Chiller Calcs'!AG10)))+('IceBank Account'!$P$4*'IceBank Account'!G13)+('IceBank Account'!$U$4*'IceBank Account'!H13)&gt;='Chiller Calcs'!C10,0,AD10)))</f>
        <v>0</v>
      </c>
      <c r="AK10" s="47">
        <f t="shared" si="15"/>
        <v>1</v>
      </c>
      <c r="AL10" s="47">
        <f t="shared" si="16"/>
        <v>0</v>
      </c>
      <c r="AM10" s="47">
        <f t="shared" si="3"/>
        <v>0</v>
      </c>
    </row>
    <row r="11" spans="1:39">
      <c r="A11" s="47">
        <v>7</v>
      </c>
      <c r="B11" s="46" t="str">
        <f>'IceBank Account'!B14</f>
        <v>P</v>
      </c>
      <c r="C11" s="46">
        <f>'IceBank Account'!C14</f>
        <v>62.5</v>
      </c>
      <c r="E11" s="46">
        <f t="shared" si="0"/>
        <v>62.5</v>
      </c>
      <c r="F11" s="47">
        <f>'IceBank Account'!E14</f>
        <v>1</v>
      </c>
      <c r="G11" s="47">
        <f>'IceBank Account'!F14</f>
        <v>0</v>
      </c>
      <c r="H11" s="47">
        <f t="shared" si="4"/>
        <v>1</v>
      </c>
      <c r="I11" s="47">
        <f t="shared" si="5"/>
        <v>0</v>
      </c>
      <c r="J11" s="47">
        <f>IF(AND(B11="P",(IF(OR('IceBank Account'!$K$5&gt;0,'IceBank Account'!$K$6&gt;0),($E$33*H11*0.5),($E$33*H11)))&gt;C11),0,F11)</f>
        <v>0</v>
      </c>
      <c r="K11" s="47">
        <f t="shared" si="6"/>
        <v>0</v>
      </c>
      <c r="L11" s="47">
        <f t="shared" si="7"/>
        <v>0</v>
      </c>
      <c r="R11" s="47">
        <f>IF(B11="I",E11,
                IF(B11="F",I11,
                          IF((IF(OR('IceBank Account'!$K$5&gt;0,'IceBank Account'!$K$6&gt;0),('Chiller Calcs'!$E$33*'Chiller Calcs'!H11*0.5),
                                          ('Chiller Calcs'!$E$33*'Chiller Calcs'!H11)))+('IceBank Account'!$P$4*'IceBank Account'!G14)+('IceBank Account'!$U$4*'IceBank Account'!H14)&gt;='Chiller Calcs'!C11,0,E11)))</f>
        <v>0</v>
      </c>
      <c r="S11" s="47">
        <f t="shared" si="8"/>
        <v>1</v>
      </c>
      <c r="T11" s="47">
        <f t="shared" si="9"/>
        <v>0</v>
      </c>
      <c r="U11" s="47">
        <f t="shared" si="10"/>
        <v>0</v>
      </c>
      <c r="X11" s="47">
        <f>IF(B11="I",E11,
            IF(B11="F",R11,
                            IF((IF(OR('IceBank Account'!$K$5&gt;0,'IceBank Account'!$K$6&gt;0),('Chiller Calcs'!$R$33*'Chiller Calcs'!U11*0.5),
                                                                      ('Chiller Calcs'!$R$33*'Chiller Calcs'!U11)))+('IceBank Account'!$P$4*'IceBank Account'!G14)+('IceBank Account'!$U$4*'IceBank Account'!H14)&gt;='Chiller Calcs'!C11,0,R11)))</f>
        <v>0</v>
      </c>
      <c r="Y11" s="47">
        <f t="shared" si="11"/>
        <v>1</v>
      </c>
      <c r="Z11" s="47">
        <f t="shared" si="12"/>
        <v>0</v>
      </c>
      <c r="AA11" s="47">
        <f t="shared" si="1"/>
        <v>0</v>
      </c>
      <c r="AD11" s="47">
        <f>IF(B11="I",E11,
               IF(B11="F",X11,
                            IF((IF(OR('IceBank Account'!$K$5&gt;0,'IceBank Account'!$K$6&gt;0),('Chiller Calcs'!$X$33*'Chiller Calcs'!AA11*0.5),
                                     ('Chiller Calcs'!$X$33*'Chiller Calcs'!AA11)))+('IceBank Account'!$P$4*'IceBank Account'!G14)+('IceBank Account'!$U$4*'IceBank Account'!H14)&gt;='Chiller Calcs'!C11,0,X11)))</f>
        <v>0</v>
      </c>
      <c r="AE11" s="47">
        <f t="shared" si="13"/>
        <v>1</v>
      </c>
      <c r="AF11" s="47">
        <f t="shared" si="14"/>
        <v>0</v>
      </c>
      <c r="AG11" s="47">
        <f t="shared" si="2"/>
        <v>0</v>
      </c>
      <c r="AJ11" s="47">
        <f>IF(B11="I",E11,
             IF(B11="F",AD11,
                        IF((IF(OR('IceBank Account'!$K$5&gt;0,'IceBank Account'!$K$6&gt;0),('Chiller Calcs'!$AD$33*'Chiller Calcs'!AG11*0.5),
                                         ('Chiller Calcs'!$AD$33*'Chiller Calcs'!AG11)))+('IceBank Account'!$P$4*'IceBank Account'!G14)+('IceBank Account'!$U$4*'IceBank Account'!H14)&gt;='Chiller Calcs'!C11,0,AD11)))</f>
        <v>0</v>
      </c>
      <c r="AK11" s="47">
        <f t="shared" si="15"/>
        <v>1</v>
      </c>
      <c r="AL11" s="47">
        <f t="shared" si="16"/>
        <v>0</v>
      </c>
      <c r="AM11" s="47">
        <f t="shared" si="3"/>
        <v>0</v>
      </c>
    </row>
    <row r="12" spans="1:39">
      <c r="A12" s="47">
        <v>8</v>
      </c>
      <c r="B12" s="46" t="str">
        <f>'IceBank Account'!B15</f>
        <v>P</v>
      </c>
      <c r="C12" s="46">
        <f>'IceBank Account'!C15</f>
        <v>112.5</v>
      </c>
      <c r="E12" s="46">
        <f t="shared" si="0"/>
        <v>112.5</v>
      </c>
      <c r="F12" s="47">
        <f>'IceBank Account'!E15</f>
        <v>1</v>
      </c>
      <c r="G12" s="47">
        <f>'IceBank Account'!F15</f>
        <v>0</v>
      </c>
      <c r="H12" s="47">
        <f>F12+G12</f>
        <v>1</v>
      </c>
      <c r="I12" s="47">
        <f t="shared" si="5"/>
        <v>112.5</v>
      </c>
      <c r="J12" s="47">
        <f>IF(AND(B12="P",(IF(OR('IceBank Account'!$K$5&gt;0,'IceBank Account'!$K$6&gt;0),($E$33*H12*0.5),($E$33*H12)))&gt;C12),0,F12)</f>
        <v>1</v>
      </c>
      <c r="K12" s="47">
        <f t="shared" si="6"/>
        <v>0</v>
      </c>
      <c r="L12" s="47">
        <f t="shared" si="7"/>
        <v>1</v>
      </c>
      <c r="R12" s="47">
        <f>IF(B12="I",E12,
                IF(B12="F",I12,
                          IF((IF(OR('IceBank Account'!$K$5&gt;0,'IceBank Account'!$K$6&gt;0),('Chiller Calcs'!$E$33*'Chiller Calcs'!H12*0.5),
                                          ('Chiller Calcs'!$E$33*'Chiller Calcs'!H12)))+('IceBank Account'!$P$4*'IceBank Account'!G15)+('IceBank Account'!$U$4*'IceBank Account'!H15)&gt;='Chiller Calcs'!C12,0,E12)))</f>
        <v>112.5</v>
      </c>
      <c r="S12" s="47">
        <f t="shared" si="8"/>
        <v>1</v>
      </c>
      <c r="T12" s="47">
        <f t="shared" si="9"/>
        <v>0</v>
      </c>
      <c r="U12" s="47">
        <f t="shared" si="10"/>
        <v>1</v>
      </c>
      <c r="X12" s="47">
        <f>IF(B12="I",E12,
            IF(B12="F",R12,
                            IF((IF(OR('IceBank Account'!$K$5&gt;0,'IceBank Account'!$K$6&gt;0),('Chiller Calcs'!$R$33*'Chiller Calcs'!U12*0.5),
                                                                      ('Chiller Calcs'!$R$33*'Chiller Calcs'!U12)))+('IceBank Account'!$P$4*'IceBank Account'!G15)+('IceBank Account'!$U$4*'IceBank Account'!H15)&gt;='Chiller Calcs'!C12,0,R12)))</f>
        <v>0</v>
      </c>
      <c r="Y12" s="47">
        <f t="shared" si="11"/>
        <v>1</v>
      </c>
      <c r="Z12" s="47">
        <f t="shared" si="12"/>
        <v>0</v>
      </c>
      <c r="AA12" s="47">
        <f t="shared" si="1"/>
        <v>0</v>
      </c>
      <c r="AD12" s="47">
        <f>IF(B12="I",E12,
               IF(B12="F",X12,
                            IF((IF(OR('IceBank Account'!$K$5&gt;0,'IceBank Account'!$K$6&gt;0),('Chiller Calcs'!$X$33*'Chiller Calcs'!AA12*0.5),
                                     ('Chiller Calcs'!$X$33*'Chiller Calcs'!AA12)))+('IceBank Account'!$P$4*'IceBank Account'!G15)+('IceBank Account'!$U$4*'IceBank Account'!H15)&gt;='Chiller Calcs'!C12,0,X12)))</f>
        <v>0</v>
      </c>
      <c r="AE12" s="47">
        <f t="shared" si="13"/>
        <v>1</v>
      </c>
      <c r="AF12" s="47">
        <f t="shared" si="14"/>
        <v>0</v>
      </c>
      <c r="AG12" s="47">
        <f t="shared" si="2"/>
        <v>0</v>
      </c>
      <c r="AJ12" s="47">
        <f>IF(B12="I",E12,
             IF(B12="F",AD12,
                        IF((IF(OR('IceBank Account'!$K$5&gt;0,'IceBank Account'!$K$6&gt;0),('Chiller Calcs'!$AD$33*'Chiller Calcs'!AG12*0.5),
                                         ('Chiller Calcs'!$AD$33*'Chiller Calcs'!AG12)))+('IceBank Account'!$P$4*'IceBank Account'!G15)+('IceBank Account'!$U$4*'IceBank Account'!H15)&gt;='Chiller Calcs'!C12,0,AD12)))</f>
        <v>0</v>
      </c>
      <c r="AK12" s="47">
        <f t="shared" si="15"/>
        <v>1</v>
      </c>
      <c r="AL12" s="47">
        <f t="shared" si="16"/>
        <v>0</v>
      </c>
      <c r="AM12" s="47">
        <f t="shared" si="3"/>
        <v>0</v>
      </c>
    </row>
    <row r="13" spans="1:39">
      <c r="A13" s="47">
        <v>9</v>
      </c>
      <c r="B13" s="46" t="str">
        <f>'IceBank Account'!B16</f>
        <v>P</v>
      </c>
      <c r="C13" s="46">
        <f>'IceBank Account'!C16</f>
        <v>187.5</v>
      </c>
      <c r="E13" s="46">
        <f t="shared" si="0"/>
        <v>187.5</v>
      </c>
      <c r="F13" s="47">
        <f>'IceBank Account'!E16</f>
        <v>1</v>
      </c>
      <c r="G13" s="47">
        <f>'IceBank Account'!F16</f>
        <v>0</v>
      </c>
      <c r="H13" s="47">
        <f t="shared" si="4"/>
        <v>1</v>
      </c>
      <c r="I13" s="47">
        <f t="shared" si="5"/>
        <v>187.5</v>
      </c>
      <c r="J13" s="47">
        <f>IF(AND(B13="P",(IF(OR('IceBank Account'!$K$5&gt;0,'IceBank Account'!$K$6&gt;0),($E$33*H13*0.5),($E$33*H13)))&gt;C13),0,F13)</f>
        <v>1</v>
      </c>
      <c r="K13" s="47">
        <f t="shared" si="6"/>
        <v>0</v>
      </c>
      <c r="L13" s="47">
        <f t="shared" si="7"/>
        <v>1</v>
      </c>
      <c r="R13" s="47">
        <f>IF(B13="I",E13,
                IF(B13="F",I13,
                          IF((IF(OR('IceBank Account'!$K$5&gt;0,'IceBank Account'!$K$6&gt;0),('Chiller Calcs'!$E$33*'Chiller Calcs'!H13*0.5),
                                          ('Chiller Calcs'!$E$33*'Chiller Calcs'!H13)))+('IceBank Account'!$P$4*'IceBank Account'!G16)+('IceBank Account'!$U$4*'IceBank Account'!H16)&gt;='Chiller Calcs'!C13,0,E13)))</f>
        <v>187.5</v>
      </c>
      <c r="S13" s="47">
        <f t="shared" si="8"/>
        <v>1</v>
      </c>
      <c r="T13" s="47">
        <f t="shared" si="9"/>
        <v>0</v>
      </c>
      <c r="U13" s="47">
        <f t="shared" si="10"/>
        <v>1</v>
      </c>
      <c r="X13" s="47">
        <f>IF(B13="I",E13,
            IF(B13="F",R13,
                            IF((IF(OR('IceBank Account'!$K$5&gt;0,'IceBank Account'!$K$6&gt;0),('Chiller Calcs'!$R$33*'Chiller Calcs'!U13*0.5),
                                                                      ('Chiller Calcs'!$R$33*'Chiller Calcs'!U13)))+('IceBank Account'!$P$4*'IceBank Account'!G16)+('IceBank Account'!$U$4*'IceBank Account'!H16)&gt;='Chiller Calcs'!C13,0,R13)))</f>
        <v>187.5</v>
      </c>
      <c r="Y13" s="47">
        <f t="shared" si="11"/>
        <v>1</v>
      </c>
      <c r="Z13" s="47">
        <f t="shared" si="12"/>
        <v>0</v>
      </c>
      <c r="AA13" s="47">
        <f t="shared" si="1"/>
        <v>1</v>
      </c>
      <c r="AD13" s="47">
        <f>IF(B13="I",E13,
               IF(B13="F",X13,
                            IF((IF(OR('IceBank Account'!$K$5&gt;0,'IceBank Account'!$K$6&gt;0),('Chiller Calcs'!$X$33*'Chiller Calcs'!AA13*0.5),
                                     ('Chiller Calcs'!$X$33*'Chiller Calcs'!AA13)))+('IceBank Account'!$P$4*'IceBank Account'!G16)+('IceBank Account'!$U$4*'IceBank Account'!H16)&gt;='Chiller Calcs'!C13,0,X13)))</f>
        <v>187.5</v>
      </c>
      <c r="AE13" s="47">
        <f t="shared" si="13"/>
        <v>1</v>
      </c>
      <c r="AF13" s="47">
        <f t="shared" si="14"/>
        <v>0</v>
      </c>
      <c r="AG13" s="47">
        <f t="shared" si="2"/>
        <v>1</v>
      </c>
      <c r="AJ13" s="47">
        <f>IF(B13="I",E13,
             IF(B13="F",AD13,
                        IF((IF(OR('IceBank Account'!$K$5&gt;0,'IceBank Account'!$K$6&gt;0),('Chiller Calcs'!$AD$33*'Chiller Calcs'!AG13*0.5),
                                         ('Chiller Calcs'!$AD$33*'Chiller Calcs'!AG13)))+('IceBank Account'!$P$4*'IceBank Account'!G16)+('IceBank Account'!$U$4*'IceBank Account'!H16)&gt;='Chiller Calcs'!C13,0,AD13)))</f>
        <v>187.5</v>
      </c>
      <c r="AK13" s="47">
        <f t="shared" si="15"/>
        <v>1</v>
      </c>
      <c r="AL13" s="47">
        <f t="shared" si="16"/>
        <v>0</v>
      </c>
      <c r="AM13" s="47">
        <f t="shared" si="3"/>
        <v>1</v>
      </c>
    </row>
    <row r="14" spans="1:39">
      <c r="A14" s="47">
        <v>10</v>
      </c>
      <c r="B14" s="46" t="str">
        <f>'IceBank Account'!B17</f>
        <v>P</v>
      </c>
      <c r="C14" s="46">
        <f>'IceBank Account'!C17</f>
        <v>225</v>
      </c>
      <c r="E14" s="46">
        <f t="shared" si="0"/>
        <v>225</v>
      </c>
      <c r="F14" s="47">
        <f>'IceBank Account'!E17</f>
        <v>1</v>
      </c>
      <c r="G14" s="47">
        <f>'IceBank Account'!F17</f>
        <v>0</v>
      </c>
      <c r="H14" s="47">
        <f t="shared" si="4"/>
        <v>1</v>
      </c>
      <c r="I14" s="47">
        <f t="shared" si="5"/>
        <v>225</v>
      </c>
      <c r="J14" s="47">
        <f>IF(AND(B14="P",(IF(OR('IceBank Account'!$K$5&gt;0,'IceBank Account'!$K$6&gt;0),($E$33*H14*0.5),($E$33*H14)))&gt;C14),0,F14)</f>
        <v>1</v>
      </c>
      <c r="K14" s="47">
        <f t="shared" si="6"/>
        <v>0</v>
      </c>
      <c r="L14" s="47">
        <f t="shared" si="7"/>
        <v>1</v>
      </c>
      <c r="R14" s="47">
        <f>IF(B14="I",E14,
                IF(B14="F",I14,
                          IF((IF(OR('IceBank Account'!$K$5&gt;0,'IceBank Account'!$K$6&gt;0),('Chiller Calcs'!$E$33*'Chiller Calcs'!H14*0.5),
                                          ('Chiller Calcs'!$E$33*'Chiller Calcs'!H14)))+('IceBank Account'!$P$4*'IceBank Account'!G17)+('IceBank Account'!$U$4*'IceBank Account'!H17)&gt;='Chiller Calcs'!C14,0,E14)))</f>
        <v>225</v>
      </c>
      <c r="S14" s="47">
        <f t="shared" si="8"/>
        <v>1</v>
      </c>
      <c r="T14" s="47">
        <f t="shared" si="9"/>
        <v>0</v>
      </c>
      <c r="U14" s="47">
        <f t="shared" si="10"/>
        <v>1</v>
      </c>
      <c r="X14" s="47">
        <f>IF(B14="I",E14,
            IF(B14="F",R14,
                            IF((IF(OR('IceBank Account'!$K$5&gt;0,'IceBank Account'!$K$6&gt;0),('Chiller Calcs'!$R$33*'Chiller Calcs'!U14*0.5),
                                                                      ('Chiller Calcs'!$R$33*'Chiller Calcs'!U14)))+('IceBank Account'!$P$4*'IceBank Account'!G17)+('IceBank Account'!$U$4*'IceBank Account'!H17)&gt;='Chiller Calcs'!C14,0,R14)))</f>
        <v>225</v>
      </c>
      <c r="Y14" s="47">
        <f t="shared" si="11"/>
        <v>1</v>
      </c>
      <c r="Z14" s="47">
        <f t="shared" si="12"/>
        <v>0</v>
      </c>
      <c r="AA14" s="47">
        <f t="shared" si="1"/>
        <v>1</v>
      </c>
      <c r="AD14" s="47">
        <f>IF(B14="I",E14,
               IF(B14="F",X14,
                            IF((IF(OR('IceBank Account'!$K$5&gt;0,'IceBank Account'!$K$6&gt;0),('Chiller Calcs'!$X$33*'Chiller Calcs'!AA14*0.5),
                                     ('Chiller Calcs'!$X$33*'Chiller Calcs'!AA14)))+('IceBank Account'!$P$4*'IceBank Account'!G17)+('IceBank Account'!$U$4*'IceBank Account'!H17)&gt;='Chiller Calcs'!C14,0,X14)))</f>
        <v>225</v>
      </c>
      <c r="AE14" s="47">
        <f t="shared" si="13"/>
        <v>1</v>
      </c>
      <c r="AF14" s="47">
        <f t="shared" si="14"/>
        <v>0</v>
      </c>
      <c r="AG14" s="47">
        <f t="shared" si="2"/>
        <v>1</v>
      </c>
      <c r="AJ14" s="47">
        <f>IF(B14="I",E14,
             IF(B14="F",AD14,
                        IF((IF(OR('IceBank Account'!$K$5&gt;0,'IceBank Account'!$K$6&gt;0),('Chiller Calcs'!$AD$33*'Chiller Calcs'!AG14*0.5),
                                         ('Chiller Calcs'!$AD$33*'Chiller Calcs'!AG14)))+('IceBank Account'!$P$4*'IceBank Account'!G17)+('IceBank Account'!$U$4*'IceBank Account'!H17)&gt;='Chiller Calcs'!C14,0,AD14)))</f>
        <v>225</v>
      </c>
      <c r="AK14" s="47">
        <f t="shared" si="15"/>
        <v>1</v>
      </c>
      <c r="AL14" s="47">
        <f t="shared" si="16"/>
        <v>0</v>
      </c>
      <c r="AM14" s="47">
        <f t="shared" si="3"/>
        <v>1</v>
      </c>
    </row>
    <row r="15" spans="1:39">
      <c r="A15" s="47">
        <v>11</v>
      </c>
      <c r="B15" s="46" t="str">
        <f>'IceBank Account'!B18</f>
        <v>P</v>
      </c>
      <c r="C15" s="46">
        <f>'IceBank Account'!C18</f>
        <v>250</v>
      </c>
      <c r="E15" s="46">
        <f t="shared" si="0"/>
        <v>250</v>
      </c>
      <c r="F15" s="47">
        <f>'IceBank Account'!E18</f>
        <v>1</v>
      </c>
      <c r="G15" s="47">
        <f>'IceBank Account'!F18</f>
        <v>0</v>
      </c>
      <c r="H15" s="47">
        <f t="shared" si="4"/>
        <v>1</v>
      </c>
      <c r="I15" s="47">
        <f t="shared" si="5"/>
        <v>250</v>
      </c>
      <c r="J15" s="47">
        <f>IF(AND(B15="P",(IF(OR('IceBank Account'!$K$5&gt;0,'IceBank Account'!$K$6&gt;0),($E$33*H15*0.5),($E$33*H15)))&gt;C15),0,F15)</f>
        <v>1</v>
      </c>
      <c r="K15" s="47">
        <f t="shared" si="6"/>
        <v>0</v>
      </c>
      <c r="L15" s="47">
        <f t="shared" si="7"/>
        <v>1</v>
      </c>
      <c r="R15" s="47">
        <f>IF(B15="I",E15,
                IF(B15="F",I15,
                          IF((IF(OR('IceBank Account'!$K$5&gt;0,'IceBank Account'!$K$6&gt;0),('Chiller Calcs'!$E$33*'Chiller Calcs'!H15*0.5),
                                          ('Chiller Calcs'!$E$33*'Chiller Calcs'!H15)))+('IceBank Account'!$P$4*'IceBank Account'!G18)+('IceBank Account'!$U$4*'IceBank Account'!H18)&gt;='Chiller Calcs'!C15,0,E15)))</f>
        <v>250</v>
      </c>
      <c r="S15" s="47">
        <f t="shared" si="8"/>
        <v>1</v>
      </c>
      <c r="T15" s="47">
        <f t="shared" si="9"/>
        <v>0</v>
      </c>
      <c r="U15" s="47">
        <f t="shared" si="10"/>
        <v>1</v>
      </c>
      <c r="X15" s="47">
        <f>IF(B15="I",E15,
            IF(B15="F",R15,
                            IF((IF(OR('IceBank Account'!$K$5&gt;0,'IceBank Account'!$K$6&gt;0),('Chiller Calcs'!$R$33*'Chiller Calcs'!U15*0.5),
                                                                      ('Chiller Calcs'!$R$33*'Chiller Calcs'!U15)))+('IceBank Account'!$P$4*'IceBank Account'!G18)+('IceBank Account'!$U$4*'IceBank Account'!H18)&gt;='Chiller Calcs'!C15,0,R15)))</f>
        <v>250</v>
      </c>
      <c r="Y15" s="47">
        <f t="shared" si="11"/>
        <v>1</v>
      </c>
      <c r="Z15" s="47">
        <f t="shared" si="12"/>
        <v>0</v>
      </c>
      <c r="AA15" s="47">
        <f t="shared" si="1"/>
        <v>1</v>
      </c>
      <c r="AD15" s="47">
        <f>IF(B15="I",E15,
               IF(B15="F",X15,
                            IF((IF(OR('IceBank Account'!$K$5&gt;0,'IceBank Account'!$K$6&gt;0),('Chiller Calcs'!$X$33*'Chiller Calcs'!AA15*0.5),
                                     ('Chiller Calcs'!$X$33*'Chiller Calcs'!AA15)))+('IceBank Account'!$P$4*'IceBank Account'!G18)+('IceBank Account'!$U$4*'IceBank Account'!H18)&gt;='Chiller Calcs'!C15,0,X15)))</f>
        <v>250</v>
      </c>
      <c r="AE15" s="47">
        <f t="shared" si="13"/>
        <v>1</v>
      </c>
      <c r="AF15" s="47">
        <f t="shared" si="14"/>
        <v>0</v>
      </c>
      <c r="AG15" s="47">
        <f t="shared" si="2"/>
        <v>1</v>
      </c>
      <c r="AJ15" s="47">
        <f>IF(B15="I",E15,
             IF(B15="F",AD15,
                        IF((IF(OR('IceBank Account'!$K$5&gt;0,'IceBank Account'!$K$6&gt;0),('Chiller Calcs'!$AD$33*'Chiller Calcs'!AG15*0.5),
                                         ('Chiller Calcs'!$AD$33*'Chiller Calcs'!AG15)))+('IceBank Account'!$P$4*'IceBank Account'!G18)+('IceBank Account'!$U$4*'IceBank Account'!H18)&gt;='Chiller Calcs'!C15,0,AD15)))</f>
        <v>250</v>
      </c>
      <c r="AK15" s="47">
        <f t="shared" si="15"/>
        <v>1</v>
      </c>
      <c r="AL15" s="47">
        <f t="shared" si="16"/>
        <v>0</v>
      </c>
      <c r="AM15" s="47">
        <f t="shared" si="3"/>
        <v>1</v>
      </c>
    </row>
    <row r="16" spans="1:39">
      <c r="A16" s="47">
        <v>12</v>
      </c>
      <c r="B16" s="46" t="str">
        <f>'IceBank Account'!B19</f>
        <v>P</v>
      </c>
      <c r="C16" s="46">
        <f>'IceBank Account'!C19</f>
        <v>250</v>
      </c>
      <c r="E16" s="46">
        <f t="shared" si="0"/>
        <v>250</v>
      </c>
      <c r="F16" s="47">
        <f>'IceBank Account'!E19</f>
        <v>1</v>
      </c>
      <c r="G16" s="47">
        <f>'IceBank Account'!F19</f>
        <v>0</v>
      </c>
      <c r="H16" s="47">
        <f t="shared" si="4"/>
        <v>1</v>
      </c>
      <c r="I16" s="47">
        <f t="shared" si="5"/>
        <v>250</v>
      </c>
      <c r="J16" s="47">
        <f>IF(AND(B16="P",(IF(OR('IceBank Account'!$K$5&gt;0,'IceBank Account'!$K$6&gt;0),($E$33*H16*0.5),($E$33*H16)))&gt;C16),0,F16)</f>
        <v>1</v>
      </c>
      <c r="K16" s="47">
        <f t="shared" si="6"/>
        <v>0</v>
      </c>
      <c r="L16" s="47">
        <f t="shared" si="7"/>
        <v>1</v>
      </c>
      <c r="R16" s="47">
        <f>IF(B16="I",E16,
                IF(B16="F",I16,
                          IF((IF(OR('IceBank Account'!$K$5&gt;0,'IceBank Account'!$K$6&gt;0),('Chiller Calcs'!$E$33*'Chiller Calcs'!H16*0.5),
                                          ('Chiller Calcs'!$E$33*'Chiller Calcs'!H16)))+('IceBank Account'!$P$4*'IceBank Account'!G19)+('IceBank Account'!$U$4*'IceBank Account'!H19)&gt;='Chiller Calcs'!C16,0,E16)))</f>
        <v>250</v>
      </c>
      <c r="S16" s="47">
        <f t="shared" si="8"/>
        <v>1</v>
      </c>
      <c r="T16" s="47">
        <f t="shared" si="9"/>
        <v>0</v>
      </c>
      <c r="U16" s="47">
        <f t="shared" si="10"/>
        <v>1</v>
      </c>
      <c r="X16" s="47">
        <f>IF(B16="I",E16,
            IF(B16="F",R16,
                            IF((IF(OR('IceBank Account'!$K$5&gt;0,'IceBank Account'!$K$6&gt;0),('Chiller Calcs'!$R$33*'Chiller Calcs'!U16*0.5),
                                                                      ('Chiller Calcs'!$R$33*'Chiller Calcs'!U16)))+('IceBank Account'!$P$4*'IceBank Account'!G19)+('IceBank Account'!$U$4*'IceBank Account'!H19)&gt;='Chiller Calcs'!C16,0,R16)))</f>
        <v>250</v>
      </c>
      <c r="Y16" s="47">
        <f t="shared" si="11"/>
        <v>1</v>
      </c>
      <c r="Z16" s="47">
        <f t="shared" si="12"/>
        <v>0</v>
      </c>
      <c r="AA16" s="47">
        <f t="shared" si="1"/>
        <v>1</v>
      </c>
      <c r="AD16" s="47">
        <f>IF(B16="I",E16,
               IF(B16="F",X16,
                            IF((IF(OR('IceBank Account'!$K$5&gt;0,'IceBank Account'!$K$6&gt;0),('Chiller Calcs'!$X$33*'Chiller Calcs'!AA16*0.5),
                                     ('Chiller Calcs'!$X$33*'Chiller Calcs'!AA16)))+('IceBank Account'!$P$4*'IceBank Account'!G19)+('IceBank Account'!$U$4*'IceBank Account'!H19)&gt;='Chiller Calcs'!C16,0,X16)))</f>
        <v>250</v>
      </c>
      <c r="AE16" s="47">
        <f t="shared" si="13"/>
        <v>1</v>
      </c>
      <c r="AF16" s="47">
        <f t="shared" si="14"/>
        <v>0</v>
      </c>
      <c r="AG16" s="47">
        <f t="shared" si="2"/>
        <v>1</v>
      </c>
      <c r="AJ16" s="47">
        <f>IF(B16="I",E16,
             IF(B16="F",AD16,
                        IF((IF(OR('IceBank Account'!$K$5&gt;0,'IceBank Account'!$K$6&gt;0),('Chiller Calcs'!$AD$33*'Chiller Calcs'!AG16*0.5),
                                         ('Chiller Calcs'!$AD$33*'Chiller Calcs'!AG16)))+('IceBank Account'!$P$4*'IceBank Account'!G19)+('IceBank Account'!$U$4*'IceBank Account'!H19)&gt;='Chiller Calcs'!C16,0,AD16)))</f>
        <v>250</v>
      </c>
      <c r="AK16" s="47">
        <f t="shared" si="15"/>
        <v>1</v>
      </c>
      <c r="AL16" s="47">
        <f t="shared" si="16"/>
        <v>0</v>
      </c>
      <c r="AM16" s="47">
        <f t="shared" si="3"/>
        <v>1</v>
      </c>
    </row>
    <row r="17" spans="1:39">
      <c r="A17" s="47">
        <v>13</v>
      </c>
      <c r="B17" s="46" t="str">
        <f>'IceBank Account'!B20</f>
        <v>P</v>
      </c>
      <c r="C17" s="46">
        <f>'IceBank Account'!C20</f>
        <v>250</v>
      </c>
      <c r="E17" s="46">
        <f t="shared" si="0"/>
        <v>250</v>
      </c>
      <c r="F17" s="47">
        <f>'IceBank Account'!E20</f>
        <v>1</v>
      </c>
      <c r="G17" s="47">
        <f>'IceBank Account'!F20</f>
        <v>0</v>
      </c>
      <c r="H17" s="47">
        <f t="shared" si="4"/>
        <v>1</v>
      </c>
      <c r="I17" s="47">
        <f t="shared" si="5"/>
        <v>250</v>
      </c>
      <c r="J17" s="47">
        <f>IF(AND(B17="P",(IF(OR('IceBank Account'!$K$5&gt;0,'IceBank Account'!$K$6&gt;0),($E$33*H17*0.5),($E$33*H17)))&gt;C17),0,F17)</f>
        <v>1</v>
      </c>
      <c r="K17" s="47">
        <f t="shared" si="6"/>
        <v>0</v>
      </c>
      <c r="L17" s="47">
        <f t="shared" si="7"/>
        <v>1</v>
      </c>
      <c r="R17" s="47">
        <f>IF(B17="I",E17,
                IF(B17="F",I17,
                          IF((IF(OR('IceBank Account'!$K$5&gt;0,'IceBank Account'!$K$6&gt;0),('Chiller Calcs'!$E$33*'Chiller Calcs'!H17*0.5),
                                          ('Chiller Calcs'!$E$33*'Chiller Calcs'!H17)))+('IceBank Account'!$P$4*'IceBank Account'!G20)+('IceBank Account'!$U$4*'IceBank Account'!H20)&gt;='Chiller Calcs'!C17,0,E17)))</f>
        <v>250</v>
      </c>
      <c r="S17" s="47">
        <f t="shared" si="8"/>
        <v>1</v>
      </c>
      <c r="T17" s="47">
        <f t="shared" si="9"/>
        <v>0</v>
      </c>
      <c r="U17" s="47">
        <f t="shared" si="10"/>
        <v>1</v>
      </c>
      <c r="X17" s="47">
        <f>IF(B17="I",E17,
            IF(B17="F",R17,
                            IF((IF(OR('IceBank Account'!$K$5&gt;0,'IceBank Account'!$K$6&gt;0),('Chiller Calcs'!$R$33*'Chiller Calcs'!U17*0.5),
                                                                      ('Chiller Calcs'!$R$33*'Chiller Calcs'!U17)))+('IceBank Account'!$P$4*'IceBank Account'!G20)+('IceBank Account'!$U$4*'IceBank Account'!H20)&gt;='Chiller Calcs'!C17,0,R17)))</f>
        <v>250</v>
      </c>
      <c r="Y17" s="47">
        <f t="shared" si="11"/>
        <v>1</v>
      </c>
      <c r="Z17" s="47">
        <f t="shared" si="12"/>
        <v>0</v>
      </c>
      <c r="AA17" s="47">
        <f t="shared" si="1"/>
        <v>1</v>
      </c>
      <c r="AD17" s="47">
        <f>IF(B17="I",E17,
               IF(B17="F",X17,
                            IF((IF(OR('IceBank Account'!$K$5&gt;0,'IceBank Account'!$K$6&gt;0),('Chiller Calcs'!$X$33*'Chiller Calcs'!AA17*0.5),
                                     ('Chiller Calcs'!$X$33*'Chiller Calcs'!AA17)))+('IceBank Account'!$P$4*'IceBank Account'!G20)+('IceBank Account'!$U$4*'IceBank Account'!H20)&gt;='Chiller Calcs'!C17,0,X17)))</f>
        <v>250</v>
      </c>
      <c r="AE17" s="47">
        <f t="shared" si="13"/>
        <v>1</v>
      </c>
      <c r="AF17" s="47">
        <f t="shared" si="14"/>
        <v>0</v>
      </c>
      <c r="AG17" s="47">
        <f t="shared" si="2"/>
        <v>1</v>
      </c>
      <c r="AJ17" s="47">
        <f>IF(B17="I",E17,
             IF(B17="F",AD17,
                        IF((IF(OR('IceBank Account'!$K$5&gt;0,'IceBank Account'!$K$6&gt;0),('Chiller Calcs'!$AD$33*'Chiller Calcs'!AG17*0.5),
                                         ('Chiller Calcs'!$AD$33*'Chiller Calcs'!AG17)))+('IceBank Account'!$P$4*'IceBank Account'!G20)+('IceBank Account'!$U$4*'IceBank Account'!H20)&gt;='Chiller Calcs'!C17,0,AD17)))</f>
        <v>250</v>
      </c>
      <c r="AK17" s="47">
        <f t="shared" si="15"/>
        <v>1</v>
      </c>
      <c r="AL17" s="47">
        <f t="shared" si="16"/>
        <v>0</v>
      </c>
      <c r="AM17" s="47">
        <f t="shared" si="3"/>
        <v>1</v>
      </c>
    </row>
    <row r="18" spans="1:39">
      <c r="A18" s="47">
        <v>14</v>
      </c>
      <c r="B18" s="46" t="str">
        <f>'IceBank Account'!B21</f>
        <v>P</v>
      </c>
      <c r="C18" s="46">
        <f>'IceBank Account'!C21</f>
        <v>250</v>
      </c>
      <c r="E18" s="46">
        <f t="shared" si="0"/>
        <v>250</v>
      </c>
      <c r="F18" s="47">
        <f>'IceBank Account'!E21</f>
        <v>1</v>
      </c>
      <c r="G18" s="47">
        <f>'IceBank Account'!F21</f>
        <v>0</v>
      </c>
      <c r="H18" s="47">
        <f t="shared" si="4"/>
        <v>1</v>
      </c>
      <c r="I18" s="47">
        <f t="shared" si="5"/>
        <v>250</v>
      </c>
      <c r="J18" s="47">
        <f>IF(AND(B18="P",(IF(OR('IceBank Account'!$K$5&gt;0,'IceBank Account'!$K$6&gt;0),($E$33*H18*0.5),($E$33*H18)))&gt;C18),0,F18)</f>
        <v>1</v>
      </c>
      <c r="K18" s="47">
        <f t="shared" si="6"/>
        <v>0</v>
      </c>
      <c r="L18" s="47">
        <f t="shared" si="7"/>
        <v>1</v>
      </c>
      <c r="R18" s="47">
        <f>IF(B18="I",E18,
                IF(B18="F",I18,
                          IF((IF(OR('IceBank Account'!$K$5&gt;0,'IceBank Account'!$K$6&gt;0),('Chiller Calcs'!$E$33*'Chiller Calcs'!H18*0.5),
                                          ('Chiller Calcs'!$E$33*'Chiller Calcs'!H18)))+('IceBank Account'!$P$4*'IceBank Account'!G21)+('IceBank Account'!$U$4*'IceBank Account'!H21)&gt;='Chiller Calcs'!C18,0,E18)))</f>
        <v>250</v>
      </c>
      <c r="S18" s="47">
        <f t="shared" si="8"/>
        <v>1</v>
      </c>
      <c r="T18" s="47">
        <f t="shared" si="9"/>
        <v>0</v>
      </c>
      <c r="U18" s="47">
        <f t="shared" si="10"/>
        <v>1</v>
      </c>
      <c r="X18" s="47">
        <f>IF(B18="I",E18,
            IF(B18="F",R18,
                            IF((IF(OR('IceBank Account'!$K$5&gt;0,'IceBank Account'!$K$6&gt;0),('Chiller Calcs'!$R$33*'Chiller Calcs'!U18*0.5),
                                                                      ('Chiller Calcs'!$R$33*'Chiller Calcs'!U18)))+('IceBank Account'!$P$4*'IceBank Account'!G21)+('IceBank Account'!$U$4*'IceBank Account'!H21)&gt;='Chiller Calcs'!C18,0,R18)))</f>
        <v>250</v>
      </c>
      <c r="Y18" s="47">
        <f t="shared" si="11"/>
        <v>1</v>
      </c>
      <c r="Z18" s="47">
        <f t="shared" si="12"/>
        <v>0</v>
      </c>
      <c r="AA18" s="47">
        <f t="shared" si="1"/>
        <v>1</v>
      </c>
      <c r="AD18" s="47">
        <f>IF(B18="I",E18,
               IF(B18="F",X18,
                            IF((IF(OR('IceBank Account'!$K$5&gt;0,'IceBank Account'!$K$6&gt;0),('Chiller Calcs'!$X$33*'Chiller Calcs'!AA18*0.5),
                                     ('Chiller Calcs'!$X$33*'Chiller Calcs'!AA18)))+('IceBank Account'!$P$4*'IceBank Account'!G21)+('IceBank Account'!$U$4*'IceBank Account'!H21)&gt;='Chiller Calcs'!C18,0,X18)))</f>
        <v>250</v>
      </c>
      <c r="AE18" s="47">
        <f t="shared" si="13"/>
        <v>1</v>
      </c>
      <c r="AF18" s="47">
        <f t="shared" si="14"/>
        <v>0</v>
      </c>
      <c r="AG18" s="47">
        <f t="shared" si="2"/>
        <v>1</v>
      </c>
      <c r="AJ18" s="47">
        <f>IF(B18="I",E18,
             IF(B18="F",AD18,
                        IF((IF(OR('IceBank Account'!$K$5&gt;0,'IceBank Account'!$K$6&gt;0),('Chiller Calcs'!$AD$33*'Chiller Calcs'!AG18*0.5),
                                         ('Chiller Calcs'!$AD$33*'Chiller Calcs'!AG18)))+('IceBank Account'!$P$4*'IceBank Account'!G21)+('IceBank Account'!$U$4*'IceBank Account'!H21)&gt;='Chiller Calcs'!C18,0,AD18)))</f>
        <v>250</v>
      </c>
      <c r="AK18" s="47">
        <f t="shared" si="15"/>
        <v>1</v>
      </c>
      <c r="AL18" s="47">
        <f t="shared" si="16"/>
        <v>0</v>
      </c>
      <c r="AM18" s="47">
        <f t="shared" si="3"/>
        <v>1</v>
      </c>
    </row>
    <row r="19" spans="1:39">
      <c r="A19" s="47">
        <v>15</v>
      </c>
      <c r="B19" s="46" t="str">
        <f>'IceBank Account'!B22</f>
        <v>P</v>
      </c>
      <c r="C19" s="46">
        <f>'IceBank Account'!C22</f>
        <v>200</v>
      </c>
      <c r="E19" s="46">
        <f t="shared" si="0"/>
        <v>200</v>
      </c>
      <c r="F19" s="47">
        <f>'IceBank Account'!E22</f>
        <v>1</v>
      </c>
      <c r="G19" s="47">
        <f>'IceBank Account'!F22</f>
        <v>0</v>
      </c>
      <c r="H19" s="47">
        <f t="shared" si="4"/>
        <v>1</v>
      </c>
      <c r="I19" s="47">
        <f t="shared" si="5"/>
        <v>200</v>
      </c>
      <c r="J19" s="47">
        <f>IF(AND(B19="P",(IF(OR('IceBank Account'!$K$5&gt;0,'IceBank Account'!$K$6&gt;0),($E$33*H19*0.5),($E$33*H19)))&gt;C19),0,F19)</f>
        <v>1</v>
      </c>
      <c r="K19" s="47">
        <f t="shared" si="6"/>
        <v>0</v>
      </c>
      <c r="L19" s="47">
        <f t="shared" si="7"/>
        <v>1</v>
      </c>
      <c r="R19" s="47">
        <f>IF(B19="I",E19,
                IF(B19="F",I19,
                          IF((IF(OR('IceBank Account'!$K$5&gt;0,'IceBank Account'!$K$6&gt;0),('Chiller Calcs'!$E$33*'Chiller Calcs'!H19*0.5),
                                          ('Chiller Calcs'!$E$33*'Chiller Calcs'!H19)))+('IceBank Account'!$P$4*'IceBank Account'!G22)+('IceBank Account'!$U$4*'IceBank Account'!H22)&gt;='Chiller Calcs'!C19,0,E19)))</f>
        <v>200</v>
      </c>
      <c r="S19" s="47">
        <f t="shared" si="8"/>
        <v>1</v>
      </c>
      <c r="T19" s="47">
        <f t="shared" si="9"/>
        <v>0</v>
      </c>
      <c r="U19" s="47">
        <f t="shared" si="10"/>
        <v>1</v>
      </c>
      <c r="X19" s="47">
        <f>IF(B19="I",E19,
            IF(B19="F",R19,
                            IF((IF(OR('IceBank Account'!$K$5&gt;0,'IceBank Account'!$K$6&gt;0),('Chiller Calcs'!$R$33*'Chiller Calcs'!U19*0.5),
                                                                      ('Chiller Calcs'!$R$33*'Chiller Calcs'!U19)))+('IceBank Account'!$P$4*'IceBank Account'!G22)+('IceBank Account'!$U$4*'IceBank Account'!H22)&gt;='Chiller Calcs'!C19,0,R19)))</f>
        <v>200</v>
      </c>
      <c r="Y19" s="47">
        <f t="shared" si="11"/>
        <v>1</v>
      </c>
      <c r="Z19" s="47">
        <f t="shared" si="12"/>
        <v>0</v>
      </c>
      <c r="AA19" s="47">
        <f t="shared" si="1"/>
        <v>1</v>
      </c>
      <c r="AD19" s="47">
        <f>IF(B19="I",E19,
               IF(B19="F",X19,
                            IF((IF(OR('IceBank Account'!$K$5&gt;0,'IceBank Account'!$K$6&gt;0),('Chiller Calcs'!$X$33*'Chiller Calcs'!AA19*0.5),
                                     ('Chiller Calcs'!$X$33*'Chiller Calcs'!AA19)))+('IceBank Account'!$P$4*'IceBank Account'!G22)+('IceBank Account'!$U$4*'IceBank Account'!H22)&gt;='Chiller Calcs'!C19,0,X19)))</f>
        <v>200</v>
      </c>
      <c r="AE19" s="47">
        <f t="shared" si="13"/>
        <v>1</v>
      </c>
      <c r="AF19" s="47">
        <f t="shared" si="14"/>
        <v>0</v>
      </c>
      <c r="AG19" s="47">
        <f t="shared" si="2"/>
        <v>1</v>
      </c>
      <c r="AJ19" s="47">
        <f>IF(B19="I",E19,
             IF(B19="F",AD19,
                        IF((IF(OR('IceBank Account'!$K$5&gt;0,'IceBank Account'!$K$6&gt;0),('Chiller Calcs'!$AD$33*'Chiller Calcs'!AG19*0.5),
                                         ('Chiller Calcs'!$AD$33*'Chiller Calcs'!AG19)))+('IceBank Account'!$P$4*'IceBank Account'!G22)+('IceBank Account'!$U$4*'IceBank Account'!H22)&gt;='Chiller Calcs'!C19,0,AD19)))</f>
        <v>200</v>
      </c>
      <c r="AK19" s="47">
        <f t="shared" si="15"/>
        <v>1</v>
      </c>
      <c r="AL19" s="47">
        <f t="shared" si="16"/>
        <v>0</v>
      </c>
      <c r="AM19" s="47">
        <f t="shared" si="3"/>
        <v>1</v>
      </c>
    </row>
    <row r="20" spans="1:39">
      <c r="A20" s="47">
        <v>16</v>
      </c>
      <c r="B20" s="46" t="str">
        <f>'IceBank Account'!B23</f>
        <v>P</v>
      </c>
      <c r="C20" s="46">
        <f>'IceBank Account'!C23</f>
        <v>125</v>
      </c>
      <c r="E20" s="46">
        <f t="shared" si="0"/>
        <v>125</v>
      </c>
      <c r="F20" s="47">
        <f>'IceBank Account'!E23</f>
        <v>1</v>
      </c>
      <c r="G20" s="47">
        <f>'IceBank Account'!F23</f>
        <v>0</v>
      </c>
      <c r="H20" s="47">
        <f t="shared" si="4"/>
        <v>1</v>
      </c>
      <c r="I20" s="47">
        <f t="shared" si="5"/>
        <v>125</v>
      </c>
      <c r="J20" s="47">
        <f>IF(AND(B20="P",(IF(OR('IceBank Account'!$K$5&gt;0,'IceBank Account'!$K$6&gt;0),($E$33*H20*0.5),($E$33*H20)))&gt;C20),0,F20)</f>
        <v>1</v>
      </c>
      <c r="K20" s="47">
        <f t="shared" si="6"/>
        <v>0</v>
      </c>
      <c r="L20" s="47">
        <f t="shared" si="7"/>
        <v>1</v>
      </c>
      <c r="R20" s="47">
        <f>IF(B20="I",E20,
                IF(B20="F",I20,
                          IF((IF(OR('IceBank Account'!$K$5&gt;0,'IceBank Account'!$K$6&gt;0),('Chiller Calcs'!$E$33*'Chiller Calcs'!H20*0.5),
                                          ('Chiller Calcs'!$E$33*'Chiller Calcs'!H20)))+('IceBank Account'!$P$4*'IceBank Account'!G23)+('IceBank Account'!$U$4*'IceBank Account'!H23)&gt;='Chiller Calcs'!C20,0,E20)))</f>
        <v>125</v>
      </c>
      <c r="S20" s="47">
        <f t="shared" si="8"/>
        <v>1</v>
      </c>
      <c r="T20" s="47">
        <f t="shared" si="9"/>
        <v>0</v>
      </c>
      <c r="U20" s="47">
        <f t="shared" si="10"/>
        <v>1</v>
      </c>
      <c r="X20" s="47">
        <f>IF(B20="I",E20,
            IF(B20="F",R20,
                            IF((IF(OR('IceBank Account'!$K$5&gt;0,'IceBank Account'!$K$6&gt;0),('Chiller Calcs'!$R$33*'Chiller Calcs'!U20*0.5),
                                                                      ('Chiller Calcs'!$R$33*'Chiller Calcs'!U20)))+('IceBank Account'!$P$4*'IceBank Account'!G23)+('IceBank Account'!$U$4*'IceBank Account'!H23)&gt;='Chiller Calcs'!C20,0,R20)))</f>
        <v>0</v>
      </c>
      <c r="Y20" s="47">
        <f t="shared" si="11"/>
        <v>1</v>
      </c>
      <c r="Z20" s="47">
        <f t="shared" si="12"/>
        <v>0</v>
      </c>
      <c r="AA20" s="47">
        <f t="shared" si="1"/>
        <v>0</v>
      </c>
      <c r="AD20" s="47">
        <f>IF(B20="I",E20,
               IF(B20="F",X20,
                            IF((IF(OR('IceBank Account'!$K$5&gt;0,'IceBank Account'!$K$6&gt;0),('Chiller Calcs'!$X$33*'Chiller Calcs'!AA20*0.5),
                                     ('Chiller Calcs'!$X$33*'Chiller Calcs'!AA20)))+('IceBank Account'!$P$4*'IceBank Account'!G23)+('IceBank Account'!$U$4*'IceBank Account'!H23)&gt;='Chiller Calcs'!C20,0,X20)))</f>
        <v>0</v>
      </c>
      <c r="AE20" s="47">
        <f t="shared" si="13"/>
        <v>1</v>
      </c>
      <c r="AF20" s="47">
        <f t="shared" si="14"/>
        <v>0</v>
      </c>
      <c r="AG20" s="47">
        <f t="shared" si="2"/>
        <v>0</v>
      </c>
      <c r="AJ20" s="47">
        <f>IF(B20="I",E20,
             IF(B20="F",AD20,
                        IF((IF(OR('IceBank Account'!$K$5&gt;0,'IceBank Account'!$K$6&gt;0),('Chiller Calcs'!$AD$33*'Chiller Calcs'!AG20*0.5),
                                         ('Chiller Calcs'!$AD$33*'Chiller Calcs'!AG20)))+('IceBank Account'!$P$4*'IceBank Account'!G23)+('IceBank Account'!$U$4*'IceBank Account'!H23)&gt;='Chiller Calcs'!C20,0,AD20)))</f>
        <v>0</v>
      </c>
      <c r="AK20" s="47">
        <f t="shared" si="15"/>
        <v>1</v>
      </c>
      <c r="AL20" s="47">
        <f t="shared" si="16"/>
        <v>0</v>
      </c>
      <c r="AM20" s="47">
        <f t="shared" si="3"/>
        <v>0</v>
      </c>
    </row>
    <row r="21" spans="1:39">
      <c r="A21" s="47">
        <v>17</v>
      </c>
      <c r="B21" s="46" t="str">
        <f>'IceBank Account'!B24</f>
        <v>P</v>
      </c>
      <c r="C21" s="46">
        <f>'IceBank Account'!C24</f>
        <v>50</v>
      </c>
      <c r="E21" s="46">
        <f t="shared" si="0"/>
        <v>50</v>
      </c>
      <c r="F21" s="47">
        <f>'IceBank Account'!E24</f>
        <v>1</v>
      </c>
      <c r="G21" s="47">
        <f>'IceBank Account'!F24</f>
        <v>0</v>
      </c>
      <c r="H21" s="47">
        <f t="shared" si="4"/>
        <v>1</v>
      </c>
      <c r="I21" s="47">
        <f t="shared" si="5"/>
        <v>0</v>
      </c>
      <c r="J21" s="47">
        <f>IF(AND(B21="P",(IF(OR('IceBank Account'!$K$5&gt;0,'IceBank Account'!$K$6&gt;0),($E$33*H21*0.5),($E$33*H21)))&gt;C21),0,F21)</f>
        <v>0</v>
      </c>
      <c r="K21" s="47">
        <f t="shared" si="6"/>
        <v>0</v>
      </c>
      <c r="L21" s="47">
        <f t="shared" si="7"/>
        <v>0</v>
      </c>
      <c r="R21" s="47">
        <f>IF(B21="I",E21,
                IF(B21="F",I21,
                          IF((IF(OR('IceBank Account'!$K$5&gt;0,'IceBank Account'!$K$6&gt;0),('Chiller Calcs'!$E$33*'Chiller Calcs'!H21*0.5),
                                          ('Chiller Calcs'!$E$33*'Chiller Calcs'!H21)))+('IceBank Account'!$P$4*'IceBank Account'!G24)+('IceBank Account'!$U$4*'IceBank Account'!H24)&gt;='Chiller Calcs'!C21,0,E21)))</f>
        <v>0</v>
      </c>
      <c r="S21" s="47">
        <f t="shared" si="8"/>
        <v>1</v>
      </c>
      <c r="T21" s="47">
        <f t="shared" si="9"/>
        <v>0</v>
      </c>
      <c r="U21" s="47">
        <f t="shared" si="10"/>
        <v>0</v>
      </c>
      <c r="X21" s="47">
        <f>IF(B21="I",E21,
            IF(B21="F",R21,
                            IF((IF(OR('IceBank Account'!$K$5&gt;0,'IceBank Account'!$K$6&gt;0),('Chiller Calcs'!$R$33*'Chiller Calcs'!U21*0.5),
                                                                      ('Chiller Calcs'!$R$33*'Chiller Calcs'!U21)))+('IceBank Account'!$P$4*'IceBank Account'!G24)+('IceBank Account'!$U$4*'IceBank Account'!H24)&gt;='Chiller Calcs'!C21,0,R21)))</f>
        <v>0</v>
      </c>
      <c r="Y21" s="47">
        <f t="shared" si="11"/>
        <v>1</v>
      </c>
      <c r="Z21" s="47">
        <f t="shared" si="12"/>
        <v>0</v>
      </c>
      <c r="AA21" s="47">
        <f t="shared" si="1"/>
        <v>0</v>
      </c>
      <c r="AD21" s="47">
        <f>IF(B21="I",E21,
               IF(B21="F",X21,
                            IF((IF(OR('IceBank Account'!$K$5&gt;0,'IceBank Account'!$K$6&gt;0),('Chiller Calcs'!$X$33*'Chiller Calcs'!AA21*0.5),
                                     ('Chiller Calcs'!$X$33*'Chiller Calcs'!AA21)))+('IceBank Account'!$P$4*'IceBank Account'!G24)+('IceBank Account'!$U$4*'IceBank Account'!H24)&gt;='Chiller Calcs'!C21,0,X21)))</f>
        <v>0</v>
      </c>
      <c r="AE21" s="47">
        <f t="shared" si="13"/>
        <v>1</v>
      </c>
      <c r="AF21" s="47">
        <f t="shared" si="14"/>
        <v>0</v>
      </c>
      <c r="AG21" s="47">
        <f t="shared" si="2"/>
        <v>0</v>
      </c>
      <c r="AJ21" s="47">
        <f>IF(B21="I",E21,
             IF(B21="F",AD21,
                        IF((IF(OR('IceBank Account'!$K$5&gt;0,'IceBank Account'!$K$6&gt;0),('Chiller Calcs'!$AD$33*'Chiller Calcs'!AG21*0.5),
                                         ('Chiller Calcs'!$AD$33*'Chiller Calcs'!AG21)))+('IceBank Account'!$P$4*'IceBank Account'!G24)+('IceBank Account'!$U$4*'IceBank Account'!H24)&gt;='Chiller Calcs'!C21,0,AD21)))</f>
        <v>0</v>
      </c>
      <c r="AK21" s="47">
        <f t="shared" si="15"/>
        <v>1</v>
      </c>
      <c r="AL21" s="47">
        <f t="shared" si="16"/>
        <v>0</v>
      </c>
      <c r="AM21" s="47">
        <f t="shared" si="3"/>
        <v>0</v>
      </c>
    </row>
    <row r="22" spans="1:39">
      <c r="A22" s="47">
        <v>18</v>
      </c>
      <c r="B22" s="46" t="str">
        <f>'IceBank Account'!B25</f>
        <v>P</v>
      </c>
      <c r="C22" s="46">
        <f>'IceBank Account'!C25</f>
        <v>50</v>
      </c>
      <c r="E22" s="46">
        <f t="shared" si="0"/>
        <v>50</v>
      </c>
      <c r="F22" s="47">
        <f>'IceBank Account'!E25</f>
        <v>1</v>
      </c>
      <c r="G22" s="47">
        <f>'IceBank Account'!F25</f>
        <v>0</v>
      </c>
      <c r="H22" s="47">
        <f t="shared" si="4"/>
        <v>1</v>
      </c>
      <c r="I22" s="47">
        <f t="shared" si="5"/>
        <v>0</v>
      </c>
      <c r="J22" s="47">
        <f>IF(AND(B22="P",(IF(OR('IceBank Account'!$K$5&gt;0,'IceBank Account'!$K$6&gt;0),($E$33*H22*0.5),($E$33*H22)))&gt;C22),0,F22)</f>
        <v>0</v>
      </c>
      <c r="K22" s="47">
        <f t="shared" si="6"/>
        <v>0</v>
      </c>
      <c r="L22" s="47">
        <f t="shared" si="7"/>
        <v>0</v>
      </c>
      <c r="R22" s="47">
        <f>IF(B22="I",E22,
                IF(B22="F",I22,
                          IF((IF(OR('IceBank Account'!$K$5&gt;0,'IceBank Account'!$K$6&gt;0),('Chiller Calcs'!$E$33*'Chiller Calcs'!H22*0.5),
                                          ('Chiller Calcs'!$E$33*'Chiller Calcs'!H22)))+('IceBank Account'!$P$4*'IceBank Account'!G25)+('IceBank Account'!$U$4*'IceBank Account'!H25)&gt;='Chiller Calcs'!C22,0,E22)))</f>
        <v>0</v>
      </c>
      <c r="S22" s="47">
        <f t="shared" si="8"/>
        <v>1</v>
      </c>
      <c r="T22" s="47">
        <f t="shared" si="9"/>
        <v>0</v>
      </c>
      <c r="U22" s="47">
        <f t="shared" si="10"/>
        <v>0</v>
      </c>
      <c r="X22" s="47">
        <f>IF(B22="I",E22,
            IF(B22="F",R22,
                            IF((IF(OR('IceBank Account'!$K$5&gt;0,'IceBank Account'!$K$6&gt;0),('Chiller Calcs'!$R$33*'Chiller Calcs'!U22*0.5),
                                                                      ('Chiller Calcs'!$R$33*'Chiller Calcs'!U22)))+('IceBank Account'!$P$4*'IceBank Account'!G25)+('IceBank Account'!$U$4*'IceBank Account'!H25)&gt;='Chiller Calcs'!C22,0,R22)))</f>
        <v>0</v>
      </c>
      <c r="Y22" s="47">
        <f t="shared" si="11"/>
        <v>1</v>
      </c>
      <c r="Z22" s="47">
        <f t="shared" si="12"/>
        <v>0</v>
      </c>
      <c r="AA22" s="47">
        <f t="shared" si="1"/>
        <v>0</v>
      </c>
      <c r="AD22" s="47">
        <f>IF(B22="I",E22,
               IF(B22="F",X22,
                            IF((IF(OR('IceBank Account'!$K$5&gt;0,'IceBank Account'!$K$6&gt;0),('Chiller Calcs'!$X$33*'Chiller Calcs'!AA22*0.5),
                                     ('Chiller Calcs'!$X$33*'Chiller Calcs'!AA22)))+('IceBank Account'!$P$4*'IceBank Account'!G25)+('IceBank Account'!$U$4*'IceBank Account'!H25)&gt;='Chiller Calcs'!C22,0,X22)))</f>
        <v>0</v>
      </c>
      <c r="AE22" s="47">
        <f t="shared" si="13"/>
        <v>1</v>
      </c>
      <c r="AF22" s="47">
        <f t="shared" si="14"/>
        <v>0</v>
      </c>
      <c r="AG22" s="47">
        <f t="shared" si="2"/>
        <v>0</v>
      </c>
      <c r="AJ22" s="47">
        <f>IF(B22="I",E22,
             IF(B22="F",AD22,
                        IF((IF(OR('IceBank Account'!$K$5&gt;0,'IceBank Account'!$K$6&gt;0),('Chiller Calcs'!$AD$33*'Chiller Calcs'!AG22*0.5),
                                         ('Chiller Calcs'!$AD$33*'Chiller Calcs'!AG22)))+('IceBank Account'!$P$4*'IceBank Account'!G25)+('IceBank Account'!$U$4*'IceBank Account'!H25)&gt;='Chiller Calcs'!C22,0,AD22)))</f>
        <v>0</v>
      </c>
      <c r="AK22" s="47">
        <f t="shared" si="15"/>
        <v>1</v>
      </c>
      <c r="AL22" s="47">
        <f t="shared" si="16"/>
        <v>0</v>
      </c>
      <c r="AM22" s="47">
        <f t="shared" si="3"/>
        <v>0</v>
      </c>
    </row>
    <row r="23" spans="1:39">
      <c r="A23" s="47">
        <v>19</v>
      </c>
      <c r="B23" s="46" t="str">
        <f>'IceBank Account'!B26</f>
        <v>P</v>
      </c>
      <c r="C23" s="46">
        <f>'IceBank Account'!C26</f>
        <v>0</v>
      </c>
      <c r="E23" s="46">
        <f t="shared" si="0"/>
        <v>0</v>
      </c>
      <c r="F23" s="47">
        <f>'IceBank Account'!E26</f>
        <v>1</v>
      </c>
      <c r="G23" s="47">
        <f>'IceBank Account'!F26</f>
        <v>0</v>
      </c>
      <c r="H23" s="47">
        <f t="shared" si="4"/>
        <v>1</v>
      </c>
      <c r="I23" s="47">
        <f t="shared" si="5"/>
        <v>0</v>
      </c>
      <c r="J23" s="47">
        <f>IF(AND(B23="P",(IF(OR('IceBank Account'!$K$5&gt;0,'IceBank Account'!$K$6&gt;0),($E$33*H23*0.5),($E$33*H23)))&gt;C23),0,F23)</f>
        <v>0</v>
      </c>
      <c r="K23" s="47">
        <f t="shared" si="6"/>
        <v>0</v>
      </c>
      <c r="L23" s="47">
        <f t="shared" si="7"/>
        <v>0</v>
      </c>
      <c r="R23" s="47">
        <f>IF(B23="I",E23,
                IF(B23="F",I23,
                          IF((IF(OR('IceBank Account'!$K$5&gt;0,'IceBank Account'!$K$6&gt;0),('Chiller Calcs'!$E$33*'Chiller Calcs'!H23*0.5),
                                          ('Chiller Calcs'!$E$33*'Chiller Calcs'!H23)))+('IceBank Account'!$P$4*'IceBank Account'!G26)+('IceBank Account'!$U$4*'IceBank Account'!H26)&gt;='Chiller Calcs'!C23,0,E23)))</f>
        <v>0</v>
      </c>
      <c r="S23" s="47">
        <f t="shared" si="8"/>
        <v>1</v>
      </c>
      <c r="T23" s="47">
        <f t="shared" si="9"/>
        <v>0</v>
      </c>
      <c r="U23" s="47">
        <f t="shared" si="10"/>
        <v>0</v>
      </c>
      <c r="X23" s="47">
        <f>IF(B23="I",E23,
            IF(B23="F",R23,
                            IF((IF(OR('IceBank Account'!$K$5&gt;0,'IceBank Account'!$K$6&gt;0),('Chiller Calcs'!$R$33*'Chiller Calcs'!U23*0.5),
                                                                      ('Chiller Calcs'!$R$33*'Chiller Calcs'!U23)))+('IceBank Account'!$P$4*'IceBank Account'!G26)+('IceBank Account'!$U$4*'IceBank Account'!H26)&gt;='Chiller Calcs'!C23,0,R23)))</f>
        <v>0</v>
      </c>
      <c r="Y23" s="47">
        <f t="shared" si="11"/>
        <v>1</v>
      </c>
      <c r="Z23" s="47">
        <f t="shared" si="12"/>
        <v>0</v>
      </c>
      <c r="AA23" s="47">
        <f t="shared" si="1"/>
        <v>0</v>
      </c>
      <c r="AD23" s="47">
        <f>IF(B23="I",E23,
               IF(B23="F",X23,
                            IF((IF(OR('IceBank Account'!$K$5&gt;0,'IceBank Account'!$K$6&gt;0),('Chiller Calcs'!$X$33*'Chiller Calcs'!AA23*0.5),
                                     ('Chiller Calcs'!$X$33*'Chiller Calcs'!AA23)))+('IceBank Account'!$P$4*'IceBank Account'!G26)+('IceBank Account'!$U$4*'IceBank Account'!H26)&gt;='Chiller Calcs'!C23,0,X23)))</f>
        <v>0</v>
      </c>
      <c r="AE23" s="47">
        <f t="shared" si="13"/>
        <v>1</v>
      </c>
      <c r="AF23" s="47">
        <f t="shared" si="14"/>
        <v>0</v>
      </c>
      <c r="AG23" s="47">
        <f t="shared" si="2"/>
        <v>0</v>
      </c>
      <c r="AJ23" s="47">
        <f>IF(B23="I",E23,
             IF(B23="F",AD23,
                        IF((IF(OR('IceBank Account'!$K$5&gt;0,'IceBank Account'!$K$6&gt;0),('Chiller Calcs'!$AD$33*'Chiller Calcs'!AG23*0.5),
                                         ('Chiller Calcs'!$AD$33*'Chiller Calcs'!AG23)))+('IceBank Account'!$P$4*'IceBank Account'!G26)+('IceBank Account'!$U$4*'IceBank Account'!H26)&gt;='Chiller Calcs'!C23,0,AD23)))</f>
        <v>0</v>
      </c>
      <c r="AK23" s="47">
        <f t="shared" si="15"/>
        <v>1</v>
      </c>
      <c r="AL23" s="47">
        <f t="shared" si="16"/>
        <v>0</v>
      </c>
      <c r="AM23" s="47">
        <f t="shared" si="3"/>
        <v>0</v>
      </c>
    </row>
    <row r="24" spans="1:39">
      <c r="A24" s="47">
        <v>20</v>
      </c>
      <c r="B24" s="46" t="str">
        <f>'IceBank Account'!B27</f>
        <v>P</v>
      </c>
      <c r="C24" s="46">
        <f>'IceBank Account'!C27</f>
        <v>0</v>
      </c>
      <c r="E24" s="46">
        <f t="shared" si="0"/>
        <v>0</v>
      </c>
      <c r="F24" s="47">
        <f>'IceBank Account'!E27</f>
        <v>1</v>
      </c>
      <c r="G24" s="47">
        <f>'IceBank Account'!F27</f>
        <v>0</v>
      </c>
      <c r="H24" s="47">
        <f t="shared" si="4"/>
        <v>1</v>
      </c>
      <c r="I24" s="47">
        <f t="shared" si="5"/>
        <v>0</v>
      </c>
      <c r="J24" s="47">
        <f>IF(AND(B24="P",(IF(OR('IceBank Account'!$K$5&gt;0,'IceBank Account'!$K$6&gt;0),($E$33*H24*0.5),($E$33*H24)))&gt;C24),0,F24)</f>
        <v>0</v>
      </c>
      <c r="K24" s="47">
        <f t="shared" si="6"/>
        <v>0</v>
      </c>
      <c r="L24" s="47">
        <f t="shared" si="7"/>
        <v>0</v>
      </c>
      <c r="R24" s="47">
        <f>IF(B24="I",E24,
                IF(B24="F",I24,
                          IF((IF(OR('IceBank Account'!$K$5&gt;0,'IceBank Account'!$K$6&gt;0),('Chiller Calcs'!$E$33*'Chiller Calcs'!H24*0.5),
                                          ('Chiller Calcs'!$E$33*'Chiller Calcs'!H24)))+('IceBank Account'!$P$4*'IceBank Account'!G27)+('IceBank Account'!$U$4*'IceBank Account'!H27)&gt;='Chiller Calcs'!C24,0,E24)))</f>
        <v>0</v>
      </c>
      <c r="S24" s="47">
        <f t="shared" si="8"/>
        <v>1</v>
      </c>
      <c r="T24" s="47">
        <f t="shared" si="9"/>
        <v>0</v>
      </c>
      <c r="U24" s="47">
        <f t="shared" si="10"/>
        <v>0</v>
      </c>
      <c r="X24" s="47">
        <f>IF(B24="I",E24,
            IF(B24="F",R24,
                            IF((IF(OR('IceBank Account'!$K$5&gt;0,'IceBank Account'!$K$6&gt;0),('Chiller Calcs'!$R$33*'Chiller Calcs'!U24*0.5),
                                                                      ('Chiller Calcs'!$R$33*'Chiller Calcs'!U24)))+('IceBank Account'!$P$4*'IceBank Account'!G27)+('IceBank Account'!$U$4*'IceBank Account'!H27)&gt;='Chiller Calcs'!C24,0,R24)))</f>
        <v>0</v>
      </c>
      <c r="Y24" s="47">
        <f t="shared" si="11"/>
        <v>1</v>
      </c>
      <c r="Z24" s="47">
        <f t="shared" si="12"/>
        <v>0</v>
      </c>
      <c r="AA24" s="47">
        <f t="shared" si="1"/>
        <v>0</v>
      </c>
      <c r="AD24" s="47">
        <f>IF(B24="I",E24,
               IF(B24="F",X24,
                            IF((IF(OR('IceBank Account'!$K$5&gt;0,'IceBank Account'!$K$6&gt;0),('Chiller Calcs'!$X$33*'Chiller Calcs'!AA24*0.5),
                                     ('Chiller Calcs'!$X$33*'Chiller Calcs'!AA24)))+('IceBank Account'!$P$4*'IceBank Account'!G27)+('IceBank Account'!$U$4*'IceBank Account'!H27)&gt;='Chiller Calcs'!C24,0,X24)))</f>
        <v>0</v>
      </c>
      <c r="AE24" s="47">
        <f t="shared" si="13"/>
        <v>1</v>
      </c>
      <c r="AF24" s="47">
        <f t="shared" si="14"/>
        <v>0</v>
      </c>
      <c r="AG24" s="47">
        <f t="shared" si="2"/>
        <v>0</v>
      </c>
      <c r="AJ24" s="47">
        <f>IF(B24="I",E24,
             IF(B24="F",AD24,
                        IF((IF(OR('IceBank Account'!$K$5&gt;0,'IceBank Account'!$K$6&gt;0),('Chiller Calcs'!$AD$33*'Chiller Calcs'!AG24*0.5),
                                         ('Chiller Calcs'!$AD$33*'Chiller Calcs'!AG24)))+('IceBank Account'!$P$4*'IceBank Account'!G27)+('IceBank Account'!$U$4*'IceBank Account'!H27)&gt;='Chiller Calcs'!C24,0,AD24)))</f>
        <v>0</v>
      </c>
      <c r="AK24" s="47">
        <f t="shared" si="15"/>
        <v>1</v>
      </c>
      <c r="AL24" s="47">
        <f t="shared" si="16"/>
        <v>0</v>
      </c>
      <c r="AM24" s="47">
        <f t="shared" si="3"/>
        <v>0</v>
      </c>
    </row>
    <row r="25" spans="1:39">
      <c r="A25" s="47">
        <v>21</v>
      </c>
      <c r="B25" s="46" t="str">
        <f>'IceBank Account'!B28</f>
        <v>P</v>
      </c>
      <c r="C25" s="46">
        <f>'IceBank Account'!C28</f>
        <v>0</v>
      </c>
      <c r="E25" s="46">
        <f t="shared" si="0"/>
        <v>0</v>
      </c>
      <c r="F25" s="47">
        <f>'IceBank Account'!E28</f>
        <v>1</v>
      </c>
      <c r="G25" s="47">
        <f>'IceBank Account'!F28</f>
        <v>0</v>
      </c>
      <c r="H25" s="47">
        <f t="shared" si="4"/>
        <v>1</v>
      </c>
      <c r="I25" s="47">
        <f t="shared" si="5"/>
        <v>0</v>
      </c>
      <c r="J25" s="47">
        <f>IF(AND(B25="P",(IF(OR('IceBank Account'!$K$5&gt;0,'IceBank Account'!$K$6&gt;0),($E$33*H25*0.5),($E$33*H25)))&gt;C25),0,F25)</f>
        <v>0</v>
      </c>
      <c r="K25" s="47">
        <f t="shared" si="6"/>
        <v>0</v>
      </c>
      <c r="L25" s="47">
        <f t="shared" si="7"/>
        <v>0</v>
      </c>
      <c r="R25" s="47">
        <f>IF(B25="I",E25,
                IF(B25="F",I25,
                          IF((IF(OR('IceBank Account'!$K$5&gt;0,'IceBank Account'!$K$6&gt;0),('Chiller Calcs'!$E$33*'Chiller Calcs'!H25*0.5),
                                          ('Chiller Calcs'!$E$33*'Chiller Calcs'!H25)))+('IceBank Account'!$P$4*'IceBank Account'!G28)+('IceBank Account'!$U$4*'IceBank Account'!H28)&gt;='Chiller Calcs'!C25,0,E25)))</f>
        <v>0</v>
      </c>
      <c r="S25" s="47">
        <f t="shared" si="8"/>
        <v>1</v>
      </c>
      <c r="T25" s="47">
        <f t="shared" si="9"/>
        <v>0</v>
      </c>
      <c r="U25" s="47">
        <f t="shared" si="10"/>
        <v>0</v>
      </c>
      <c r="X25" s="47">
        <f>IF(B25="I",E25,
            IF(B25="F",R25,
                            IF((IF(OR('IceBank Account'!$K$5&gt;0,'IceBank Account'!$K$6&gt;0),('Chiller Calcs'!$R$33*'Chiller Calcs'!U25*0.5),
                                                                      ('Chiller Calcs'!$R$33*'Chiller Calcs'!U25)))+('IceBank Account'!$P$4*'IceBank Account'!G28)+('IceBank Account'!$U$4*'IceBank Account'!H28)&gt;='Chiller Calcs'!C25,0,R25)))</f>
        <v>0</v>
      </c>
      <c r="Y25" s="47">
        <f t="shared" si="11"/>
        <v>1</v>
      </c>
      <c r="Z25" s="47">
        <f t="shared" si="12"/>
        <v>0</v>
      </c>
      <c r="AA25" s="47">
        <f t="shared" si="1"/>
        <v>0</v>
      </c>
      <c r="AD25" s="47">
        <f>IF(B25="I",E25,
               IF(B25="F",X25,
                            IF((IF(OR('IceBank Account'!$K$5&gt;0,'IceBank Account'!$K$6&gt;0),('Chiller Calcs'!$X$33*'Chiller Calcs'!AA25*0.5),
                                     ('Chiller Calcs'!$X$33*'Chiller Calcs'!AA25)))+('IceBank Account'!$P$4*'IceBank Account'!G28)+('IceBank Account'!$U$4*'IceBank Account'!H28)&gt;='Chiller Calcs'!C25,0,X25)))</f>
        <v>0</v>
      </c>
      <c r="AE25" s="47">
        <f t="shared" si="13"/>
        <v>1</v>
      </c>
      <c r="AF25" s="47">
        <f t="shared" si="14"/>
        <v>0</v>
      </c>
      <c r="AG25" s="47">
        <f t="shared" si="2"/>
        <v>0</v>
      </c>
      <c r="AJ25" s="47">
        <f>IF(B25="I",E25,
             IF(B25="F",AD25,
                        IF((IF(OR('IceBank Account'!$K$5&gt;0,'IceBank Account'!$K$6&gt;0),('Chiller Calcs'!$AD$33*'Chiller Calcs'!AG25*0.5),
                                         ('Chiller Calcs'!$AD$33*'Chiller Calcs'!AG25)))+('IceBank Account'!$P$4*'IceBank Account'!G28)+('IceBank Account'!$U$4*'IceBank Account'!H28)&gt;='Chiller Calcs'!C25,0,AD25)))</f>
        <v>0</v>
      </c>
      <c r="AK25" s="47">
        <f t="shared" si="15"/>
        <v>1</v>
      </c>
      <c r="AL25" s="47">
        <f t="shared" si="16"/>
        <v>0</v>
      </c>
      <c r="AM25" s="47">
        <f t="shared" si="3"/>
        <v>0</v>
      </c>
    </row>
    <row r="26" spans="1:39">
      <c r="A26" s="47">
        <v>22</v>
      </c>
      <c r="B26" s="46" t="str">
        <f>'IceBank Account'!B29</f>
        <v>P</v>
      </c>
      <c r="C26" s="46">
        <f>'IceBank Account'!C29</f>
        <v>0</v>
      </c>
      <c r="E26" s="46">
        <f t="shared" si="0"/>
        <v>0</v>
      </c>
      <c r="F26" s="47">
        <f>'IceBank Account'!E29</f>
        <v>1</v>
      </c>
      <c r="G26" s="47">
        <f>'IceBank Account'!F29</f>
        <v>0</v>
      </c>
      <c r="H26" s="47">
        <f t="shared" si="4"/>
        <v>1</v>
      </c>
      <c r="I26" s="47">
        <f t="shared" si="5"/>
        <v>0</v>
      </c>
      <c r="J26" s="47">
        <f>IF(AND(B26="P",(IF(OR('IceBank Account'!$K$5&gt;0,'IceBank Account'!$K$6&gt;0),($E$33*H26*0.5),($E$33*H26)))&gt;C26),0,F26)</f>
        <v>0</v>
      </c>
      <c r="K26" s="47">
        <f t="shared" si="6"/>
        <v>0</v>
      </c>
      <c r="L26" s="47">
        <f t="shared" si="7"/>
        <v>0</v>
      </c>
      <c r="R26" s="47">
        <f>IF(B26="I",E26,
                IF(B26="F",I26,
                          IF((IF(OR('IceBank Account'!$K$5&gt;0,'IceBank Account'!$K$6&gt;0),('Chiller Calcs'!$E$33*'Chiller Calcs'!H26*0.5),
                                          ('Chiller Calcs'!$E$33*'Chiller Calcs'!H26)))+('IceBank Account'!$P$4*'IceBank Account'!G29)+('IceBank Account'!$U$4*'IceBank Account'!H29)&gt;='Chiller Calcs'!C26,0,E26)))</f>
        <v>0</v>
      </c>
      <c r="S26" s="47">
        <f t="shared" si="8"/>
        <v>1</v>
      </c>
      <c r="T26" s="47">
        <f t="shared" si="9"/>
        <v>0</v>
      </c>
      <c r="U26" s="47">
        <f t="shared" si="10"/>
        <v>0</v>
      </c>
      <c r="X26" s="47">
        <f>IF(B26="I",E26,
            IF(B26="F",R26,
                            IF((IF(OR('IceBank Account'!$K$5&gt;0,'IceBank Account'!$K$6&gt;0),('Chiller Calcs'!$R$33*'Chiller Calcs'!U26*0.5),
                                                                      ('Chiller Calcs'!$R$33*'Chiller Calcs'!U26)))+('IceBank Account'!$P$4*'IceBank Account'!G29)+('IceBank Account'!$U$4*'IceBank Account'!H29)&gt;='Chiller Calcs'!C26,0,R26)))</f>
        <v>0</v>
      </c>
      <c r="Y26" s="47">
        <f t="shared" si="11"/>
        <v>1</v>
      </c>
      <c r="Z26" s="47">
        <f t="shared" si="12"/>
        <v>0</v>
      </c>
      <c r="AA26" s="47">
        <f t="shared" si="1"/>
        <v>0</v>
      </c>
      <c r="AD26" s="47">
        <f>IF(B26="I",E26,
               IF(B26="F",X26,
                            IF((IF(OR('IceBank Account'!$K$5&gt;0,'IceBank Account'!$K$6&gt;0),('Chiller Calcs'!$X$33*'Chiller Calcs'!AA26*0.5),
                                     ('Chiller Calcs'!$X$33*'Chiller Calcs'!AA26)))+('IceBank Account'!$P$4*'IceBank Account'!G29)+('IceBank Account'!$U$4*'IceBank Account'!H29)&gt;='Chiller Calcs'!C26,0,X26)))</f>
        <v>0</v>
      </c>
      <c r="AE26" s="47">
        <f t="shared" si="13"/>
        <v>1</v>
      </c>
      <c r="AF26" s="47">
        <f t="shared" si="14"/>
        <v>0</v>
      </c>
      <c r="AG26" s="47">
        <f t="shared" si="2"/>
        <v>0</v>
      </c>
      <c r="AJ26" s="47">
        <f>IF(B26="I",E26,
             IF(B26="F",AD26,
                        IF((IF(OR('IceBank Account'!$K$5&gt;0,'IceBank Account'!$K$6&gt;0),('Chiller Calcs'!$AD$33*'Chiller Calcs'!AG26*0.5),
                                         ('Chiller Calcs'!$AD$33*'Chiller Calcs'!AG26)))+('IceBank Account'!$P$4*'IceBank Account'!G29)+('IceBank Account'!$U$4*'IceBank Account'!H29)&gt;='Chiller Calcs'!C26,0,AD26)))</f>
        <v>0</v>
      </c>
      <c r="AK26" s="47">
        <f t="shared" si="15"/>
        <v>1</v>
      </c>
      <c r="AL26" s="47">
        <f t="shared" si="16"/>
        <v>0</v>
      </c>
      <c r="AM26" s="47">
        <f t="shared" si="3"/>
        <v>0</v>
      </c>
    </row>
    <row r="27" spans="1:39">
      <c r="A27" s="47">
        <v>23</v>
      </c>
      <c r="B27" s="46" t="str">
        <f>'IceBank Account'!B30</f>
        <v>I</v>
      </c>
      <c r="C27" s="46">
        <f>'IceBank Account'!C30</f>
        <v>0</v>
      </c>
      <c r="E27" s="46">
        <f t="shared" si="0"/>
        <v>0</v>
      </c>
      <c r="F27" s="47">
        <f>'IceBank Account'!E30</f>
        <v>0.65</v>
      </c>
      <c r="G27" s="47">
        <f>'IceBank Account'!F30</f>
        <v>0</v>
      </c>
      <c r="H27" s="47">
        <f t="shared" si="4"/>
        <v>0.65</v>
      </c>
      <c r="I27" s="47">
        <f t="shared" si="5"/>
        <v>0</v>
      </c>
      <c r="J27" s="47">
        <f>IF(AND(B27="P",(IF(OR('IceBank Account'!$K$5&gt;0,'IceBank Account'!$K$6&gt;0),($E$33*H27*0.5),($E$33*H27)))&gt;C27),0,F27)</f>
        <v>0.65</v>
      </c>
      <c r="K27" s="47">
        <f t="shared" si="6"/>
        <v>0</v>
      </c>
      <c r="L27" s="47">
        <f t="shared" si="7"/>
        <v>0.65</v>
      </c>
      <c r="R27" s="47">
        <f>IF(B27="I",E27,
                IF(B27="F",I27,
                          IF((IF(OR('IceBank Account'!$K$5&gt;0,'IceBank Account'!$K$6&gt;0),('Chiller Calcs'!$E$33*'Chiller Calcs'!H27*0.5),
                                          ('Chiller Calcs'!$E$33*'Chiller Calcs'!H27)))+('IceBank Account'!$P$4*'IceBank Account'!G30)+('IceBank Account'!$U$4*'IceBank Account'!H30)&gt;='Chiller Calcs'!C27,0,E27)))</f>
        <v>0</v>
      </c>
      <c r="S27" s="47">
        <f t="shared" si="8"/>
        <v>0.65</v>
      </c>
      <c r="T27" s="47">
        <f t="shared" si="9"/>
        <v>0</v>
      </c>
      <c r="U27" s="47">
        <f t="shared" si="10"/>
        <v>0.65</v>
      </c>
      <c r="X27" s="47">
        <f>IF(B27="I",E27,
            IF(B27="F",R27,
                            IF((IF(OR('IceBank Account'!$K$5&gt;0,'IceBank Account'!$K$6&gt;0),('Chiller Calcs'!$R$33*'Chiller Calcs'!U27*0.5),
                                                                      ('Chiller Calcs'!$R$33*'Chiller Calcs'!U27)))+('IceBank Account'!$P$4*'IceBank Account'!G30)+('IceBank Account'!$U$4*'IceBank Account'!H30)&gt;='Chiller Calcs'!C27,0,R27)))</f>
        <v>0</v>
      </c>
      <c r="Y27" s="47">
        <f t="shared" si="11"/>
        <v>0.65</v>
      </c>
      <c r="Z27" s="47">
        <f t="shared" si="12"/>
        <v>0</v>
      </c>
      <c r="AA27" s="47">
        <f t="shared" si="1"/>
        <v>0.65</v>
      </c>
      <c r="AD27" s="47">
        <f>IF(B27="I",E27,
               IF(B27="F",X27,
                            IF((IF(OR('IceBank Account'!$K$5&gt;0,'IceBank Account'!$K$6&gt;0),('Chiller Calcs'!$X$33*'Chiller Calcs'!AA27*0.5),
                                     ('Chiller Calcs'!$X$33*'Chiller Calcs'!AA27)))+('IceBank Account'!$P$4*'IceBank Account'!G30)+('IceBank Account'!$U$4*'IceBank Account'!H30)&gt;='Chiller Calcs'!C27,0,X27)))</f>
        <v>0</v>
      </c>
      <c r="AE27" s="47">
        <f t="shared" si="13"/>
        <v>0.65</v>
      </c>
      <c r="AF27" s="47">
        <f t="shared" si="14"/>
        <v>0</v>
      </c>
      <c r="AG27" s="47">
        <f t="shared" si="2"/>
        <v>0.65</v>
      </c>
      <c r="AJ27" s="47">
        <f>IF(B27="I",E27,
             IF(B27="F",AD27,
                        IF((IF(OR('IceBank Account'!$K$5&gt;0,'IceBank Account'!$K$6&gt;0),('Chiller Calcs'!$AD$33*'Chiller Calcs'!AG27*0.5),
                                         ('Chiller Calcs'!$AD$33*'Chiller Calcs'!AG27)))+('IceBank Account'!$P$4*'IceBank Account'!G30)+('IceBank Account'!$U$4*'IceBank Account'!H30)&gt;='Chiller Calcs'!C27,0,AD27)))</f>
        <v>0</v>
      </c>
      <c r="AK27" s="47">
        <f t="shared" si="15"/>
        <v>0.65</v>
      </c>
      <c r="AL27" s="47">
        <f t="shared" si="16"/>
        <v>0</v>
      </c>
      <c r="AM27" s="47">
        <f t="shared" si="3"/>
        <v>0.65</v>
      </c>
    </row>
    <row r="28" spans="1:39">
      <c r="A28" s="47">
        <v>24</v>
      </c>
      <c r="B28" s="46" t="str">
        <f>'IceBank Account'!B31</f>
        <v>I</v>
      </c>
      <c r="C28" s="46">
        <f>'IceBank Account'!C31</f>
        <v>0</v>
      </c>
      <c r="E28" s="46">
        <f t="shared" si="0"/>
        <v>0</v>
      </c>
      <c r="F28" s="47">
        <f>'IceBank Account'!E31</f>
        <v>0.65</v>
      </c>
      <c r="G28" s="47">
        <f>'IceBank Account'!F31</f>
        <v>0</v>
      </c>
      <c r="H28" s="47">
        <f t="shared" si="4"/>
        <v>0.65</v>
      </c>
      <c r="I28" s="47">
        <f t="shared" si="5"/>
        <v>0</v>
      </c>
      <c r="J28" s="47">
        <f>IF(AND(B28="P",(IF(OR('IceBank Account'!$K$5&gt;0,'IceBank Account'!$K$6&gt;0),($E$33*H28*0.5),($E$33*H28)))&gt;C28),0,F28)</f>
        <v>0.65</v>
      </c>
      <c r="K28" s="47">
        <f t="shared" si="6"/>
        <v>0</v>
      </c>
      <c r="L28" s="47">
        <f t="shared" si="7"/>
        <v>0.65</v>
      </c>
      <c r="R28" s="47">
        <f>IF(B28="I",E28,
                IF(B28="F",I28,
                          IF((IF(OR('IceBank Account'!$K$5&gt;0,'IceBank Account'!$K$6&gt;0),('Chiller Calcs'!$E$33*'Chiller Calcs'!H28*0.5),
                                          ('Chiller Calcs'!$E$33*'Chiller Calcs'!H28)))+('IceBank Account'!$P$4*'IceBank Account'!G31)+('IceBank Account'!$U$4*'IceBank Account'!H31)&gt;='Chiller Calcs'!C28,0,E28)))</f>
        <v>0</v>
      </c>
      <c r="S28" s="47">
        <f t="shared" si="8"/>
        <v>0.65</v>
      </c>
      <c r="T28" s="47">
        <f t="shared" si="9"/>
        <v>0</v>
      </c>
      <c r="U28" s="47">
        <f t="shared" si="10"/>
        <v>0.65</v>
      </c>
      <c r="X28" s="47">
        <f>IF(B28="I",E28,
            IF(B28="F",R28,
                            IF((IF(OR('IceBank Account'!$K$5&gt;0,'IceBank Account'!$K$6&gt;0),('Chiller Calcs'!$R$33*'Chiller Calcs'!U28*0.5),
                                                                      ('Chiller Calcs'!$R$33*'Chiller Calcs'!U28)))+('IceBank Account'!$P$4*'IceBank Account'!G31)+('IceBank Account'!$U$4*'IceBank Account'!H31)&gt;='Chiller Calcs'!C28,0,R28)))</f>
        <v>0</v>
      </c>
      <c r="Y28" s="47">
        <f t="shared" si="11"/>
        <v>0.65</v>
      </c>
      <c r="Z28" s="47">
        <f t="shared" si="12"/>
        <v>0</v>
      </c>
      <c r="AA28" s="47">
        <f t="shared" si="1"/>
        <v>0.65</v>
      </c>
      <c r="AD28" s="47">
        <f>IF(B28="I",E28,
               IF(B28="F",X28,
                            IF((IF(OR('IceBank Account'!$K$5&gt;0,'IceBank Account'!$K$6&gt;0),('Chiller Calcs'!$X$33*'Chiller Calcs'!AA28*0.5),
                                     ('Chiller Calcs'!$X$33*'Chiller Calcs'!AA28)))+('IceBank Account'!$P$4*'IceBank Account'!G31)+('IceBank Account'!$U$4*'IceBank Account'!H31)&gt;='Chiller Calcs'!C28,0,X28)))</f>
        <v>0</v>
      </c>
      <c r="AE28" s="47">
        <f t="shared" si="13"/>
        <v>0.65</v>
      </c>
      <c r="AF28" s="47">
        <f t="shared" si="14"/>
        <v>0</v>
      </c>
      <c r="AG28" s="47">
        <f t="shared" si="2"/>
        <v>0.65</v>
      </c>
      <c r="AJ28" s="47">
        <f>IF(B28="I",E28,
             IF(B28="F",AD28,
                        IF((IF(OR('IceBank Account'!$K$5&gt;0,'IceBank Account'!$K$6&gt;0),('Chiller Calcs'!$AD$33*'Chiller Calcs'!AG28*0.5),
                                         ('Chiller Calcs'!$AD$33*'Chiller Calcs'!AG28)))+('IceBank Account'!$P$4*'IceBank Account'!G31)+('IceBank Account'!$U$4*'IceBank Account'!H31)&gt;='Chiller Calcs'!C28,0,AD28)))</f>
        <v>0</v>
      </c>
      <c r="AK28" s="47">
        <f t="shared" si="15"/>
        <v>0.65</v>
      </c>
      <c r="AL28" s="47">
        <f t="shared" si="16"/>
        <v>0</v>
      </c>
      <c r="AM28" s="47">
        <f t="shared" si="3"/>
        <v>0.65</v>
      </c>
    </row>
    <row r="30" spans="1:39">
      <c r="D30" s="50" t="s">
        <v>31</v>
      </c>
    </row>
    <row r="31" spans="1:39">
      <c r="D31" s="51" t="s">
        <v>22</v>
      </c>
      <c r="E31" s="46">
        <f>SUM(E5:E30)</f>
        <v>2012.5</v>
      </c>
      <c r="I31" s="47">
        <f>SUM(I5:I30)</f>
        <v>1850</v>
      </c>
      <c r="R31" s="47">
        <f>SUM(R5:R30)</f>
        <v>1850</v>
      </c>
      <c r="X31" s="47">
        <f>SUM(X5:X30)</f>
        <v>1612.5</v>
      </c>
      <c r="AD31" s="47">
        <f>SUM(AD5:AD30)</f>
        <v>1612.5</v>
      </c>
      <c r="AJ31" s="47">
        <f>SUM(AJ5:AJ30)</f>
        <v>1612.5</v>
      </c>
    </row>
    <row r="33" spans="4:36">
      <c r="D33" s="50" t="s">
        <v>23</v>
      </c>
      <c r="E33" s="53">
        <f>IF(SUM(H5:H28)=0,0,IF(OR('IceBank Account'!K5&gt;0,'IceBank Account'!K6&gt;0),(E31/(SUM(H5:H28)))*2,(E31/(SUM(H5:H28)))))</f>
        <v>91.894977168949779</v>
      </c>
      <c r="I33" s="47">
        <f>IF(SUM(L5:L28)=0,0,I31/(SUM(L5:L28)))</f>
        <v>143.41085271317829</v>
      </c>
      <c r="R33" s="53">
        <f>IF(SUM(U5:U28)=0,0,IF(R31=0,0,IF(OR('IceBank Account'!K5&gt;0,'IceBank Account'!K6&gt;0),(R31/(SUM(U5:U28)))*2,R31/(SUM(U5:U28)))))</f>
        <v>143.41085271317829</v>
      </c>
      <c r="X33" s="53">
        <f>IF(SUM(AA5:AA28)=0,0,IF(X31=0,0,X31/(SUM(AA5:AA28))))</f>
        <v>147.93577981651376</v>
      </c>
      <c r="AD33" s="53">
        <f>IF(SUM(AG5:AG28)=0,0,IF(AD31=0,0,AD31/(SUM(AG5:AG28))))</f>
        <v>147.93577981651376</v>
      </c>
      <c r="AJ33" s="53">
        <f>IF(SUM(AM5:AM28)=0,0,IF(AJ31=0,0,AJ31/(SUM(AM5:AM28))))</f>
        <v>147.93577981651376</v>
      </c>
    </row>
    <row r="37" spans="4:36">
      <c r="W37" s="47" t="s">
        <v>38</v>
      </c>
      <c r="Y37" s="64" t="s">
        <v>39</v>
      </c>
    </row>
    <row r="38" spans="4:36">
      <c r="W38" s="66" t="s">
        <v>47</v>
      </c>
      <c r="Y38" s="68" t="s">
        <v>47</v>
      </c>
    </row>
    <row r="39" spans="4:36">
      <c r="W39" s="57">
        <f>IF(ISBLANK('IceBank Account'!E8),0,IF('Chiller Calcs'!AJ33&gt;0,'Chiller Calcs'!AJ33,IF('Chiller Calcs'!AD33&gt;0,'Chiller Calcs'!AD33,IF('Chiller Calcs'!X33&gt;0,'Chiller Calcs'!X33,IF('Chiller Calcs'!R33&gt;0,'Chiller Calcs'!R33,IF('Chiller Calcs'!E33&gt;0,'Chiller Calcs'!E33,""))))))</f>
        <v>147.93577981651376</v>
      </c>
      <c r="Y39" s="63" t="str">
        <f>IF(AND(OR('IceBank Account'!K5=0,ISBLANK('IceBank Account'!K5)),OR('IceBank Account'!K6=0,ISBLANK('IceBank Account'!K6))),"",'Chiller Calcs'!W39)</f>
        <v/>
      </c>
    </row>
    <row r="42" spans="4:36">
      <c r="W42" s="47" t="s">
        <v>34</v>
      </c>
    </row>
    <row r="43" spans="4:36">
      <c r="H43" s="47" t="s">
        <v>43</v>
      </c>
      <c r="I43" s="47" t="s">
        <v>43</v>
      </c>
      <c r="J43" s="47" t="s">
        <v>48</v>
      </c>
      <c r="M43" s="47" t="s">
        <v>52</v>
      </c>
      <c r="U43" s="47" t="s">
        <v>95</v>
      </c>
      <c r="V43" s="47" t="s">
        <v>95</v>
      </c>
      <c r="W43" s="47" t="s">
        <v>35</v>
      </c>
      <c r="Z43" s="47" t="s">
        <v>98</v>
      </c>
    </row>
    <row r="44" spans="4:36" ht="15" thickBot="1">
      <c r="E44" s="52" t="s">
        <v>26</v>
      </c>
      <c r="F44" s="52" t="s">
        <v>11</v>
      </c>
      <c r="G44" s="52" t="s">
        <v>10</v>
      </c>
      <c r="H44" s="49" t="s">
        <v>44</v>
      </c>
      <c r="I44" s="49" t="s">
        <v>45</v>
      </c>
      <c r="J44" s="69" t="s">
        <v>53</v>
      </c>
      <c r="K44" s="69" t="s">
        <v>38</v>
      </c>
      <c r="L44" s="69" t="s">
        <v>39</v>
      </c>
      <c r="M44" s="69" t="s">
        <v>51</v>
      </c>
      <c r="N44" s="69"/>
      <c r="O44" s="69"/>
      <c r="P44" s="69"/>
      <c r="Q44" s="69" t="s">
        <v>36</v>
      </c>
      <c r="R44" s="69" t="s">
        <v>37</v>
      </c>
      <c r="S44" s="69" t="s">
        <v>94</v>
      </c>
      <c r="T44" s="69"/>
      <c r="U44" s="69" t="s">
        <v>36</v>
      </c>
      <c r="V44" s="69" t="s">
        <v>37</v>
      </c>
      <c r="W44" s="70" t="s">
        <v>46</v>
      </c>
      <c r="X44" s="70" t="s">
        <v>43</v>
      </c>
      <c r="Y44" s="49"/>
      <c r="Z44" s="156" t="s">
        <v>97</v>
      </c>
    </row>
    <row r="45" spans="4:36">
      <c r="E45" s="46">
        <f>C5</f>
        <v>0</v>
      </c>
      <c r="F45" s="71" t="str">
        <f>'IceBank Account'!B8</f>
        <v>I</v>
      </c>
      <c r="G45" s="47">
        <v>1</v>
      </c>
      <c r="H45" s="61">
        <f>IF('IceBank Account'!B8="P",
                  IF('IceBank Account'!C8-(('IceBank Account'!$F$4*'IceBank Account'!E8)+(IF('IceBank Account'!$K$4="",0,('IceBank Account'!$K$4*'IceBank Account'!F8)))+('IceBank Account'!$P$4*'IceBank Account'!G8)+('IceBank Account'!$U$4*'IceBank Account'!H8))&lt;0,
                                 0,
                       'IceBank Account'!C8-(('IceBank Account'!$F$4*'IceBank Account'!E8)+(IF('IceBank Account'!$K$4="",0,('IceBank Account'!$K$4*'IceBank Account'!F8)))+('IceBank Account'!$P$4*'IceBank Account'!G8)+('IceBank Account'!$U$4*'IceBank Account'!H8))),
0)</f>
        <v>0</v>
      </c>
      <c r="I45" s="61">
        <f>IF('IceBank Account'!B8="F",'IceBank Account'!D8,0)</f>
        <v>0</v>
      </c>
      <c r="J45" s="61">
        <f>IF('IceBank Account'!B8="I",
                       IF((IF('IceBank Account'!$F$4="",0,'IceBank Account'!$F$4*'IceBank Account'!E8))+(IF('IceBank Account'!$K$4="",0,'IceBank Account'!$K$4*'IceBank Account'!F8))-('IceBank Account'!J8+'IceBank Account'!K8)&lt;0,
                                      0,
                             (IF('IceBank Account'!$F$4="",0,'IceBank Account'!$F$4*'IceBank Account'!E8))+((IF('IceBank Account'!$K$4="",0,'IceBank Account'!$K$4*'IceBank Account'!F8)))-('IceBank Account'!J8+'IceBank Account'!K8)),
0)</f>
        <v>96.158256880733944</v>
      </c>
      <c r="K45" s="61">
        <f>IF(AND(OR('IceBank Account'!$F$6=0,ISBLANK('IceBank Account'!$F$6)),'Chiller Calcs'!F45="P"),
     0,
IF(AND(OR('IceBank Account'!$F$5=0,ISBLANK('IceBank Account'!$F$5)),'Chiller Calcs'!F45="I"),
                  0,
              IF('IceBank Account'!$F$4="",0,IF(((IF(OR('IceBank Account'!B8="I",'IceBank Account'!B8="P"),
                              'Chiller Calcs'!W45,
              IF('IceBank Account'!B8="F",0,"")))-'Chiller Calcs'!H45)&gt;('IceBank Account'!$F$4*'IceBank Account'!E8),
                                   ('IceBank Account'!$F$4*'IceBank Account'!E8),
                       (IF(OR('IceBank Account'!B8="I",'IceBank Account'!B8="P"),
                                   'Chiller Calcs'!W45,
                        IF('IceBank Account'!B8="F",0,"")))-'Chiller Calcs'!H45))))</f>
        <v>0</v>
      </c>
      <c r="L45" s="61">
        <f>IF(AND(OR('IceBank Account'!$K$6=0,ISBLANK('IceBank Account'!$K$6)),'Chiller Calcs'!F45="P"),0,IF(AND(OR('IceBank Account'!$K$5=0,ISBLANK('IceBank Account'!$K$5)),'Chiller Calcs'!F45="I"),0,IF('IceBank Account'!$K$4="",0,IF(((IF(OR('IceBank Account'!B8="I",'IceBank Account'!B8="P"),'Chiller Calcs'!W45,IF('IceBank Account'!B8="F",0,"")))-'Chiller Calcs'!H45)&gt;('IceBank Account'!$K$4*'IceBank Account'!F8),('IceBank Account'!$K$4*'IceBank Account'!F8),(IF(OR('IceBank Account'!B8="I",'IceBank Account'!B8="P"),'Chiller Calcs'!W45,IF('IceBank Account'!B8="F",0,"")))-'Chiller Calcs'!H45))))</f>
        <v>0</v>
      </c>
      <c r="M45" s="61">
        <f>K45+L45</f>
        <v>0</v>
      </c>
      <c r="N45" s="61">
        <f>IF(AND(M45+Q45+R45&gt;E45,((E45-(Q45+R45))/2)&lt;K45),
                  IF(((E45-(Q45+R45))/2)&lt;0,
                                   0,
                       ((E45-(Q45+R45))/2)),
K45)</f>
        <v>0</v>
      </c>
      <c r="O45" s="61">
        <f>IF(AND(M45+Q45+R45&gt;E45,((E45-(Q45+R45))/2)&lt;L45),IF(((E45-(Q45+R45))/2)&lt;0,0,((E45-(Q45+R45))/2)),L45)</f>
        <v>0</v>
      </c>
      <c r="P45" s="61"/>
      <c r="Q45" s="62">
        <f>IF(OR(AND(OR('IceBank Account'!G8=0,ISBLANK('IceBank Account'!G8)),'IceBank Account'!B8="P"),AND(OR('IceBank Account'!G8=0,ISBLANK('IceBank Account'!G8)),'IceBank Account'!B8="I"),(OR('IceBank Account'!$P$4=0,ISBLANK('IceBank Account'!$P$4))),'IceBank Account'!C8=0),0,
IF('IceBank Account'!B8="F",0,
IF('IceBank Account'!C8-'IceBank Account'!$U$4*'IceBank Account'!H8&gt;'IceBank Account'!$P$4*'IceBank Account'!G8,'IceBank Account'!$P$4*'IceBank Account'!G8,'IceBank Account'!C8-('IceBank Account'!$U$4*'IceBank Account'!H8))))</f>
        <v>0</v>
      </c>
      <c r="R45" s="62">
        <f>IF(OR(AND(OR('IceBank Account'!H8=0,ISBLANK('IceBank Account'!H8)),'IceBank Account'!B8="P"),AND(OR('IceBank Account'!H8=0,ISBLANK('IceBank Account'!H8)),'IceBank Account'!B8="I"),(OR('IceBank Account'!$U$4=0,ISBLANK('IceBank Account'!$U$4))),'IceBank Account'!C8=0),0,
IF('IceBank Account'!B8="F",0,
IF('Chiller Calcs'!Q45&gt;'IceBank Account'!C8,0,IF('IceBank Account'!C8-'Chiller Calcs'!Q45&gt;'IceBank Account'!$U$4*'IceBank Account'!H8,'IceBank Account'!$U$4*'IceBank Account'!H8,'IceBank Account'!C8-'Chiller Calcs'!Q45))))</f>
        <v>0</v>
      </c>
      <c r="S45" s="46">
        <f>AVERAGE(Q45,R45)</f>
        <v>0</v>
      </c>
      <c r="T45" s="47">
        <f>IF(F45="F",0,
      IF('IceBank Account'!$U$4&gt;S45,'IceBank Account'!$U$4,S45-'IceBank Account'!$U$4))</f>
        <v>0</v>
      </c>
      <c r="U45" s="46">
        <f>S45+T45</f>
        <v>0</v>
      </c>
      <c r="V45" s="46">
        <f>S45-T45</f>
        <v>0</v>
      </c>
      <c r="W45" s="65">
        <f>IF(IF(OR(ISBLANK('IceBank Account'!B8),ISBLANK('IceBank Account'!C8)),"",
IF('IceBank Account'!B8="F",'IceBank Account'!C8,
IF('IceBank Account'!B8="P",'IceBank Account'!C8-((IF(OR('IceBank Account'!G8=0,ISBLANK('IceBank Account'!G8)),0,'IceBank Account'!$P$4*'IceBank Account'!G8))+(IF(OR('IceBank Account'!H8=0,ISBLANK('IceBank Account'!H8)),0,'IceBank Account'!$U$4*'IceBank Account'!H8))),
                   IF('IceBank Account'!B8="I",IF('IceBank Account'!C8-(((IF(OR('IceBank Account'!G8=0,ISBLANK('IceBank Account'!G8)),0,'IceBank Account'!$P$4))*'IceBank Account'!G8)+((IF(OR('IceBank Account'!H8=0,ISBLANK('IceBank Account'!H8)),0,'IceBank Account'!$U$4))*'IceBank Account'!H8))&lt;0,0,
'IceBank Account'!C8-(((IF(OR('IceBank Account'!G8=0,ISBLANK('IceBank Account'!G8)),0,'IceBank Account'!$P$4*'IceBank Account'!G8))+(IF(OR('IceBank Account'!H8=0,ISBLANK('IceBank Account'!H8)),0,'IceBank Account'!$U$4*'IceBank Account'!H8))))),""))))&lt;0,0,
IF(OR(ISBLANK('IceBank Account'!B8),ISBLANK('IceBank Account'!C8)),"",IF('IceBank Account'!B8="F",'IceBank Account'!C8,IF('IceBank Account'!B8="P",'IceBank Account'!C8-((IF(OR('IceBank Account'!G8=0,ISBLANK('IceBank Account'!G8)),0,'IceBank Account'!$P$4*'IceBank Account'!G8))+(IF(OR('IceBank Account'!H8=0,ISBLANK('IceBank Account'!H8)),0,'IceBank Account'!$U$4*'IceBank Account'!H8))),IF('IceBank Account'!B8="I",IF('IceBank Account'!C8-(((IF(OR('IceBank Account'!G8=0,ISBLANK('IceBank Account'!G8)),0,'IceBank Account'!$P$4))*'IceBank Account'!G8)+((IF(OR('IceBank Account'!H8=0,ISBLANK('IceBank Account'!H8)),0,'IceBank Account'!$U$4))*'IceBank Account'!H8))&lt;0,0,'IceBank Account'!C8-(((IF(OR('IceBank Account'!G8=0,ISBLANK('IceBank Account'!G8)),0,'IceBank Account'!$P$4*'IceBank Account'!G8))+(IF(OR('IceBank Account'!H8=0,ISBLANK('IceBank Account'!H8)),0,'IceBank Account'!$U$4*'IceBank Account'!H8))))),"")))))</f>
        <v>0</v>
      </c>
      <c r="X45" s="65">
        <f>IF(F45="I",0,E45-(N45+O45+Q45+R45))</f>
        <v>0</v>
      </c>
      <c r="Z45" s="2">
        <f>IF(F45="I",IF(E45-(H45+I45+K45+L45+Q45+R45)=0,0,(E45-(H45+I45+K45+L45+Q45+R45))),0)</f>
        <v>0</v>
      </c>
      <c r="AD45" s="46"/>
      <c r="AE45" s="46"/>
    </row>
    <row r="46" spans="4:36">
      <c r="E46" s="46">
        <f t="shared" ref="E46:E68" si="17">C6</f>
        <v>0</v>
      </c>
      <c r="F46" s="71" t="str">
        <f>'IceBank Account'!B9</f>
        <v>I</v>
      </c>
      <c r="G46" s="47">
        <v>2</v>
      </c>
      <c r="H46" s="61">
        <f>IF('IceBank Account'!B9="P",
                  IF('IceBank Account'!C9-(('IceBank Account'!$F$4*'IceBank Account'!E9)+(IF('IceBank Account'!$K$4="",0,('IceBank Account'!$K$4*'IceBank Account'!F9)))+('IceBank Account'!$P$4*'IceBank Account'!G9)+('IceBank Account'!$U$4*'IceBank Account'!H9))&lt;0,
                                 0,
                       'IceBank Account'!C9-(('IceBank Account'!$F$4*'IceBank Account'!E9)+(IF('IceBank Account'!$K$4="",0,('IceBank Account'!$K$4*'IceBank Account'!F9)))+('IceBank Account'!$P$4*'IceBank Account'!G9)+('IceBank Account'!$U$4*'IceBank Account'!H9))),
0)</f>
        <v>0</v>
      </c>
      <c r="I46" s="61">
        <f>IF('IceBank Account'!B9="F",'IceBank Account'!D9,0)</f>
        <v>0</v>
      </c>
      <c r="J46" s="61">
        <f>IF('IceBank Account'!B9="I",
                       IF((IF('IceBank Account'!$F$4="",0,'IceBank Account'!$F$4*'IceBank Account'!E9))+(IF('IceBank Account'!$K$4="",0,'IceBank Account'!$K$4*'IceBank Account'!F9))-('IceBank Account'!J9+'IceBank Account'!K9)&lt;0,
                                      0,
                             (IF('IceBank Account'!$F$4="",0,'IceBank Account'!$F$4*'IceBank Account'!E9))+((IF('IceBank Account'!$K$4="",0,'IceBank Account'!$K$4*'IceBank Account'!F9)))-('IceBank Account'!J9+'IceBank Account'!K9)),
0)</f>
        <v>96.158256880733944</v>
      </c>
      <c r="K46" s="61">
        <f>IF(AND(OR('IceBank Account'!$F$6=0,ISBLANK('IceBank Account'!$F$6)),'Chiller Calcs'!F46="P"),
     0,
IF(AND(OR('IceBank Account'!$F$5=0,ISBLANK('IceBank Account'!$F$5)),'Chiller Calcs'!F46="I"),
                  0,
              IF('IceBank Account'!$F$4="",0,IF(((IF(OR('IceBank Account'!B9="I",'IceBank Account'!B9="P"),
                              'Chiller Calcs'!W46,
              IF('IceBank Account'!B9="F",0,"")))-'Chiller Calcs'!H46)&gt;('IceBank Account'!$F$4*'IceBank Account'!E9),
                                   ('IceBank Account'!$F$4*'IceBank Account'!E9),
                       (IF(OR('IceBank Account'!B9="I",'IceBank Account'!B9="P"),
                                   'Chiller Calcs'!W46,
                        IF('IceBank Account'!B9="F",0,"")))-'Chiller Calcs'!H46))))</f>
        <v>0</v>
      </c>
      <c r="L46" s="61">
        <f>IF(AND(OR('IceBank Account'!$K$6=0,ISBLANK('IceBank Account'!$K$6)),'Chiller Calcs'!F46="P"),0,IF(AND(OR('IceBank Account'!$K$5=0,ISBLANK('IceBank Account'!$K$5)),'Chiller Calcs'!F46="I"),0,IF('IceBank Account'!$K$4="",0,IF(((IF(OR('IceBank Account'!B9="I",'IceBank Account'!B9="P"),'Chiller Calcs'!W46,IF('IceBank Account'!B9="F",0,"")))-'Chiller Calcs'!H46)&gt;('IceBank Account'!$K$4*'IceBank Account'!F9),('IceBank Account'!$K$4*'IceBank Account'!F9),(IF(OR('IceBank Account'!B9="I",'IceBank Account'!B9="P"),'Chiller Calcs'!W46,IF('IceBank Account'!B9="F",0,"")))-'Chiller Calcs'!H46))))</f>
        <v>0</v>
      </c>
      <c r="M46" s="61">
        <f t="shared" ref="M46:M68" si="18">K46+L46</f>
        <v>0</v>
      </c>
      <c r="N46" s="61">
        <f t="shared" ref="N46:N68" si="19">IF(AND(M46+Q46+R46&gt;E46,((E46-(Q46+R46))/2)&lt;K46),
                  IF(((E46-(Q46+R46))/2)&lt;0,
                                   0,
                       ((E46-(Q46+R46))/2)),
K46)</f>
        <v>0</v>
      </c>
      <c r="O46" s="61">
        <f t="shared" ref="O46:O68" si="20">IF(AND(M46+Q46+R46&gt;E46,((E46-(Q46+R46))/2)&lt;L46),IF(((E46-(Q46+R46))/2)&lt;0,0,((E46-(Q46+R46))/2)),L46)</f>
        <v>0</v>
      </c>
      <c r="P46" s="61"/>
      <c r="Q46" s="62">
        <f>IF(OR(AND(OR('IceBank Account'!G9=0,ISBLANK('IceBank Account'!G9)),'IceBank Account'!B9="P"),AND(OR('IceBank Account'!G9=0,ISBLANK('IceBank Account'!G9)),'IceBank Account'!B9="I"),(OR('IceBank Account'!$P$4=0,ISBLANK('IceBank Account'!$P$4))),'IceBank Account'!C9=0),0,
IF('IceBank Account'!B9="F",0,
IF('IceBank Account'!C9-'IceBank Account'!$U$4*'IceBank Account'!H9&gt;'IceBank Account'!$P$4*'IceBank Account'!G9,'IceBank Account'!$P$4*'IceBank Account'!G9,'IceBank Account'!C9-('IceBank Account'!$U$4*'IceBank Account'!H9))))</f>
        <v>0</v>
      </c>
      <c r="R46" s="62">
        <f>IF(OR(AND(OR('IceBank Account'!H9=0,ISBLANK('IceBank Account'!H9)),'IceBank Account'!B9="P"),AND(OR('IceBank Account'!H9=0,ISBLANK('IceBank Account'!H9)),'IceBank Account'!B9="I"),(OR('IceBank Account'!$U$4=0,ISBLANK('IceBank Account'!$U$4))),'IceBank Account'!C9=0),0,
IF('IceBank Account'!B9="F",0,
IF('Chiller Calcs'!Q46&gt;'IceBank Account'!C9,0,IF('IceBank Account'!C9-'Chiller Calcs'!Q46&gt;'IceBank Account'!$U$4*'IceBank Account'!H9,'IceBank Account'!$U$4*'IceBank Account'!H9,'IceBank Account'!C9-'Chiller Calcs'!Q46))))</f>
        <v>0</v>
      </c>
      <c r="S46" s="46">
        <f t="shared" ref="S46:S68" si="21">AVERAGE(Q46,R46)</f>
        <v>0</v>
      </c>
      <c r="T46" s="47">
        <f>IF(F46="F",0,
      IF('IceBank Account'!$U$4&gt;S46,'IceBank Account'!$U$4,S46-'IceBank Account'!$U$4))</f>
        <v>0</v>
      </c>
      <c r="U46" s="46">
        <f>S46+T46</f>
        <v>0</v>
      </c>
      <c r="V46" s="46">
        <f t="shared" ref="V46:V68" si="22">S46-T46</f>
        <v>0</v>
      </c>
      <c r="W46" s="65">
        <f>IF(IF(OR(ISBLANK('IceBank Account'!B9),ISBLANK('IceBank Account'!C9)),"",
IF('IceBank Account'!B9="F",'IceBank Account'!C9,
IF('IceBank Account'!B9="P",'IceBank Account'!C9-((IF(OR('IceBank Account'!G9=0,ISBLANK('IceBank Account'!G9)),0,'IceBank Account'!$P$4*'IceBank Account'!G9))+(IF(OR('IceBank Account'!H9=0,ISBLANK('IceBank Account'!H9)),0,'IceBank Account'!$U$4*'IceBank Account'!H9))),
                   IF('IceBank Account'!B9="I",IF('IceBank Account'!C9-(((IF(OR('IceBank Account'!G9=0,ISBLANK('IceBank Account'!G9)),0,'IceBank Account'!$P$4))*'IceBank Account'!G9)+((IF(OR('IceBank Account'!H9=0,ISBLANK('IceBank Account'!H9)),0,'IceBank Account'!$U$4))*'IceBank Account'!H9))&lt;0,0,
'IceBank Account'!C9-(((IF(OR('IceBank Account'!G9=0,ISBLANK('IceBank Account'!G9)),0,'IceBank Account'!$P$4*'IceBank Account'!G9))+(IF(OR('IceBank Account'!H9=0,ISBLANK('IceBank Account'!H9)),0,'IceBank Account'!$U$4*'IceBank Account'!H9))))),""))))&lt;0,0,
IF(OR(ISBLANK('IceBank Account'!B9),ISBLANK('IceBank Account'!C9)),"",IF('IceBank Account'!B9="F",'IceBank Account'!C9,IF('IceBank Account'!B9="P",'IceBank Account'!C9-((IF(OR('IceBank Account'!G9=0,ISBLANK('IceBank Account'!G9)),0,'IceBank Account'!$P$4*'IceBank Account'!G9))+(IF(OR('IceBank Account'!H9=0,ISBLANK('IceBank Account'!H9)),0,'IceBank Account'!$U$4*'IceBank Account'!H9))),IF('IceBank Account'!B9="I",IF('IceBank Account'!C9-(((IF(OR('IceBank Account'!G9=0,ISBLANK('IceBank Account'!G9)),0,'IceBank Account'!$P$4))*'IceBank Account'!G9)+((IF(OR('IceBank Account'!H9=0,ISBLANK('IceBank Account'!H9)),0,'IceBank Account'!$U$4))*'IceBank Account'!H9))&lt;0,0,'IceBank Account'!C9-(((IF(OR('IceBank Account'!G9=0,ISBLANK('IceBank Account'!G9)),0,'IceBank Account'!$P$4*'IceBank Account'!G9))+(IF(OR('IceBank Account'!H9=0,ISBLANK('IceBank Account'!H9)),0,'IceBank Account'!$U$4*'IceBank Account'!H9))))),"")))))</f>
        <v>0</v>
      </c>
      <c r="X46" s="65">
        <f t="shared" ref="X46:X68" si="23">IF(F46="I",0,E46-(N46+O46+Q46+R46))</f>
        <v>0</v>
      </c>
      <c r="Z46" s="2">
        <f t="shared" ref="Z46:Z68" si="24">IF(F46="I",IF(E46-(H46+I46+K46+L46+Q46+R46)=0,0,(E46-(H46+I46+K46+L46+Q46+R46))),0)</f>
        <v>0</v>
      </c>
      <c r="AD46" s="46"/>
      <c r="AE46" s="46"/>
    </row>
    <row r="47" spans="4:36">
      <c r="E47" s="46">
        <f t="shared" si="17"/>
        <v>0</v>
      </c>
      <c r="F47" s="71" t="str">
        <f>'IceBank Account'!B10</f>
        <v>I</v>
      </c>
      <c r="G47" s="47">
        <v>3</v>
      </c>
      <c r="H47" s="61">
        <f>IF('IceBank Account'!B10="P",
                  IF('IceBank Account'!C10-(('IceBank Account'!$F$4*'IceBank Account'!E10)+(IF('IceBank Account'!$K$4="",0,('IceBank Account'!$K$4*'IceBank Account'!F10)))+('IceBank Account'!$P$4*'IceBank Account'!G10)+('IceBank Account'!$U$4*'IceBank Account'!H10))&lt;0,
                                 0,
                       'IceBank Account'!C10-(('IceBank Account'!$F$4*'IceBank Account'!E10)+(IF('IceBank Account'!$K$4="",0,('IceBank Account'!$K$4*'IceBank Account'!F10)))+('IceBank Account'!$P$4*'IceBank Account'!G10)+('IceBank Account'!$U$4*'IceBank Account'!H10))),
0)</f>
        <v>0</v>
      </c>
      <c r="I47" s="61">
        <f>IF('IceBank Account'!B10="F",'IceBank Account'!D10,0)</f>
        <v>0</v>
      </c>
      <c r="J47" s="61">
        <f>IF('IceBank Account'!B10="I",
                       IF((IF('IceBank Account'!$F$4="",0,'IceBank Account'!$F$4*'IceBank Account'!E10))+(IF('IceBank Account'!$K$4="",0,'IceBank Account'!$K$4*'IceBank Account'!F10))-('IceBank Account'!J10+'IceBank Account'!K10)&lt;0,
                                      0,
                             (IF('IceBank Account'!$F$4="",0,'IceBank Account'!$F$4*'IceBank Account'!E10))+((IF('IceBank Account'!$K$4="",0,'IceBank Account'!$K$4*'IceBank Account'!F10)))-('IceBank Account'!J10+'IceBank Account'!K10)),
0)</f>
        <v>96.158256880733944</v>
      </c>
      <c r="K47" s="61">
        <f>IF(AND(OR('IceBank Account'!$F$6=0,ISBLANK('IceBank Account'!$F$6)),'Chiller Calcs'!F47="P"),
     0,
IF(AND(OR('IceBank Account'!$F$5=0,ISBLANK('IceBank Account'!$F$5)),'Chiller Calcs'!F47="I"),
                  0,
              IF('IceBank Account'!$F$4="",0,IF(((IF(OR('IceBank Account'!B10="I",'IceBank Account'!B10="P"),
                              'Chiller Calcs'!W47,
              IF('IceBank Account'!B10="F",0,"")))-'Chiller Calcs'!H47)&gt;('IceBank Account'!$F$4*'IceBank Account'!E10),
                                   ('IceBank Account'!$F$4*'IceBank Account'!E10),
                       (IF(OR('IceBank Account'!B10="I",'IceBank Account'!B10="P"),
                                   'Chiller Calcs'!W47,
                        IF('IceBank Account'!B10="F",0,"")))-'Chiller Calcs'!H47))))</f>
        <v>0</v>
      </c>
      <c r="L47" s="61">
        <f>IF(AND(OR('IceBank Account'!$K$6=0,ISBLANK('IceBank Account'!$K$6)),'Chiller Calcs'!F47="P"),0,IF(AND(OR('IceBank Account'!$K$5=0,ISBLANK('IceBank Account'!$K$5)),'Chiller Calcs'!F47="I"),0,IF('IceBank Account'!$K$4="",0,IF(((IF(OR('IceBank Account'!B10="I",'IceBank Account'!B10="P"),'Chiller Calcs'!W47,IF('IceBank Account'!B10="F",0,"")))-'Chiller Calcs'!H47)&gt;('IceBank Account'!$K$4*'IceBank Account'!F10),('IceBank Account'!$K$4*'IceBank Account'!F10),(IF(OR('IceBank Account'!B10="I",'IceBank Account'!B10="P"),'Chiller Calcs'!W47,IF('IceBank Account'!B10="F",0,"")))-'Chiller Calcs'!H47))))</f>
        <v>0</v>
      </c>
      <c r="M47" s="61">
        <f t="shared" si="18"/>
        <v>0</v>
      </c>
      <c r="N47" s="61">
        <f t="shared" si="19"/>
        <v>0</v>
      </c>
      <c r="O47" s="61">
        <f t="shared" si="20"/>
        <v>0</v>
      </c>
      <c r="P47" s="61"/>
      <c r="Q47" s="62">
        <f>IF(OR(AND(OR('IceBank Account'!G10=0,ISBLANK('IceBank Account'!G10)),'IceBank Account'!B10="P"),AND(OR('IceBank Account'!G10=0,ISBLANK('IceBank Account'!G10)),'IceBank Account'!B10="I"),(OR('IceBank Account'!$P$4=0,ISBLANK('IceBank Account'!$P$4))),'IceBank Account'!C10=0),0,
IF('IceBank Account'!B10="F",0,
IF('IceBank Account'!C10-'IceBank Account'!$U$4*'IceBank Account'!H10&gt;'IceBank Account'!$P$4*'IceBank Account'!G10,'IceBank Account'!$P$4*'IceBank Account'!G10,'IceBank Account'!C10-('IceBank Account'!$U$4*'IceBank Account'!H10))))</f>
        <v>0</v>
      </c>
      <c r="R47" s="62">
        <f>IF(OR(AND(OR('IceBank Account'!H10=0,ISBLANK('IceBank Account'!H10)),'IceBank Account'!B10="P"),AND(OR('IceBank Account'!H10=0,ISBLANK('IceBank Account'!H10)),'IceBank Account'!B10="I"),(OR('IceBank Account'!$U$4=0,ISBLANK('IceBank Account'!$U$4))),'IceBank Account'!C10=0),0,
IF('IceBank Account'!B10="F",0,
IF('Chiller Calcs'!Q47&gt;'IceBank Account'!C10,0,IF('IceBank Account'!C10-'Chiller Calcs'!Q47&gt;'IceBank Account'!$U$4*'IceBank Account'!H10,'IceBank Account'!$U$4*'IceBank Account'!H10,'IceBank Account'!C10-'Chiller Calcs'!Q47))))</f>
        <v>0</v>
      </c>
      <c r="S47" s="46">
        <f t="shared" si="21"/>
        <v>0</v>
      </c>
      <c r="T47" s="47">
        <f>IF(F47="F",0,
      IF('IceBank Account'!$U$4&gt;S47,'IceBank Account'!$U$4,S47-'IceBank Account'!$U$4))</f>
        <v>0</v>
      </c>
      <c r="U47" s="46">
        <f t="shared" ref="U47:U68" si="25">S47+T47</f>
        <v>0</v>
      </c>
      <c r="V47" s="46">
        <f t="shared" si="22"/>
        <v>0</v>
      </c>
      <c r="W47" s="65">
        <f>IF(IF(OR(ISBLANK('IceBank Account'!B10),ISBLANK('IceBank Account'!C10)),"",
IF('IceBank Account'!B10="F",'IceBank Account'!C10,
IF('IceBank Account'!B10="P",'IceBank Account'!C10-((IF(OR('IceBank Account'!G10=0,ISBLANK('IceBank Account'!G10)),0,'IceBank Account'!$P$4*'IceBank Account'!G10))+(IF(OR('IceBank Account'!H10=0,ISBLANK('IceBank Account'!H10)),0,'IceBank Account'!$U$4*'IceBank Account'!H10))),
                   IF('IceBank Account'!B10="I",IF('IceBank Account'!C10-(((IF(OR('IceBank Account'!G10=0,ISBLANK('IceBank Account'!G10)),0,'IceBank Account'!$P$4))*'IceBank Account'!G10)+((IF(OR('IceBank Account'!H10=0,ISBLANK('IceBank Account'!H10)),0,'IceBank Account'!$U$4))*'IceBank Account'!H10))&lt;0,0,
'IceBank Account'!C10-(((IF(OR('IceBank Account'!G10=0,ISBLANK('IceBank Account'!G10)),0,'IceBank Account'!$P$4*'IceBank Account'!G10))+(IF(OR('IceBank Account'!H10=0,ISBLANK('IceBank Account'!H10)),0,'IceBank Account'!$U$4*'IceBank Account'!H10))))),""))))&lt;0,0,
IF(OR(ISBLANK('IceBank Account'!B10),ISBLANK('IceBank Account'!C10)),"",IF('IceBank Account'!B10="F",'IceBank Account'!C10,IF('IceBank Account'!B10="P",'IceBank Account'!C10-((IF(OR('IceBank Account'!G10=0,ISBLANK('IceBank Account'!G10)),0,'IceBank Account'!$P$4*'IceBank Account'!G10))+(IF(OR('IceBank Account'!H10=0,ISBLANK('IceBank Account'!H10)),0,'IceBank Account'!$U$4*'IceBank Account'!H10))),IF('IceBank Account'!B10="I",IF('IceBank Account'!C10-(((IF(OR('IceBank Account'!G10=0,ISBLANK('IceBank Account'!G10)),0,'IceBank Account'!$P$4))*'IceBank Account'!G10)+((IF(OR('IceBank Account'!H10=0,ISBLANK('IceBank Account'!H10)),0,'IceBank Account'!$U$4))*'IceBank Account'!H10))&lt;0,0,'IceBank Account'!C10-(((IF(OR('IceBank Account'!G10=0,ISBLANK('IceBank Account'!G10)),0,'IceBank Account'!$P$4*'IceBank Account'!G10))+(IF(OR('IceBank Account'!H10=0,ISBLANK('IceBank Account'!H10)),0,'IceBank Account'!$U$4*'IceBank Account'!H10))))),"")))))</f>
        <v>0</v>
      </c>
      <c r="X47" s="65">
        <f t="shared" si="23"/>
        <v>0</v>
      </c>
      <c r="Z47" s="2">
        <f t="shared" si="24"/>
        <v>0</v>
      </c>
      <c r="AD47" s="46"/>
      <c r="AE47" s="46"/>
    </row>
    <row r="48" spans="4:36">
      <c r="E48" s="46">
        <f t="shared" si="17"/>
        <v>0</v>
      </c>
      <c r="F48" s="71" t="str">
        <f>'IceBank Account'!B11</f>
        <v>I</v>
      </c>
      <c r="G48" s="47">
        <v>4</v>
      </c>
      <c r="H48" s="61">
        <f>IF('IceBank Account'!B11="P",
                  IF('IceBank Account'!C11-(('IceBank Account'!$F$4*'IceBank Account'!E11)+(IF('IceBank Account'!$K$4="",0,('IceBank Account'!$K$4*'IceBank Account'!F11)))+('IceBank Account'!$P$4*'IceBank Account'!G11)+('IceBank Account'!$U$4*'IceBank Account'!H11))&lt;0,
                                 0,
                       'IceBank Account'!C11-(('IceBank Account'!$F$4*'IceBank Account'!E11)+(IF('IceBank Account'!$K$4="",0,('IceBank Account'!$K$4*'IceBank Account'!F11)))+('IceBank Account'!$P$4*'IceBank Account'!G11)+('IceBank Account'!$U$4*'IceBank Account'!H11))),
0)</f>
        <v>0</v>
      </c>
      <c r="I48" s="61">
        <f>IF('IceBank Account'!B11="F",'IceBank Account'!D11,0)</f>
        <v>0</v>
      </c>
      <c r="J48" s="61">
        <f>IF('IceBank Account'!B11="I",
                       IF((IF('IceBank Account'!$F$4="",0,'IceBank Account'!$F$4*'IceBank Account'!E11))+(IF('IceBank Account'!$K$4="",0,'IceBank Account'!$K$4*'IceBank Account'!F11))-('IceBank Account'!J11+'IceBank Account'!K11)&lt;0,
                                      0,
                             (IF('IceBank Account'!$F$4="",0,'IceBank Account'!$F$4*'IceBank Account'!E11))+((IF('IceBank Account'!$K$4="",0,'IceBank Account'!$K$4*'IceBank Account'!F11)))-('IceBank Account'!J11+'IceBank Account'!K11)),
0)</f>
        <v>96.158256880733944</v>
      </c>
      <c r="K48" s="61">
        <f>IF(AND(OR('IceBank Account'!$F$6=0,ISBLANK('IceBank Account'!$F$6)),'Chiller Calcs'!F48="P"),
     0,
IF(AND(OR('IceBank Account'!$F$5=0,ISBLANK('IceBank Account'!$F$5)),'Chiller Calcs'!F48="I"),
                  0,
              IF('IceBank Account'!$F$4="",0,IF(((IF(OR('IceBank Account'!B11="I",'IceBank Account'!B11="P"),
                              'Chiller Calcs'!W48,
              IF('IceBank Account'!B11="F",0,"")))-'Chiller Calcs'!H48)&gt;('IceBank Account'!$F$4*'IceBank Account'!E11),
                                   ('IceBank Account'!$F$4*'IceBank Account'!E11),
                       (IF(OR('IceBank Account'!B11="I",'IceBank Account'!B11="P"),
                                   'Chiller Calcs'!W48,
                        IF('IceBank Account'!B11="F",0,"")))-'Chiller Calcs'!H48))))</f>
        <v>0</v>
      </c>
      <c r="L48" s="61">
        <f>IF(AND(OR('IceBank Account'!$K$6=0,ISBLANK('IceBank Account'!$K$6)),'Chiller Calcs'!F48="P"),0,IF(AND(OR('IceBank Account'!$K$5=0,ISBLANK('IceBank Account'!$K$5)),'Chiller Calcs'!F48="I"),0,IF('IceBank Account'!$K$4="",0,IF(((IF(OR('IceBank Account'!B11="I",'IceBank Account'!B11="P"),'Chiller Calcs'!W48,IF('IceBank Account'!B11="F",0,"")))-'Chiller Calcs'!H48)&gt;('IceBank Account'!$K$4*'IceBank Account'!F11),('IceBank Account'!$K$4*'IceBank Account'!F11),(IF(OR('IceBank Account'!B11="I",'IceBank Account'!B11="P"),'Chiller Calcs'!W48,IF('IceBank Account'!B11="F",0,"")))-'Chiller Calcs'!H48))))</f>
        <v>0</v>
      </c>
      <c r="M48" s="61">
        <f t="shared" si="18"/>
        <v>0</v>
      </c>
      <c r="N48" s="61">
        <f t="shared" si="19"/>
        <v>0</v>
      </c>
      <c r="O48" s="61">
        <f t="shared" si="20"/>
        <v>0</v>
      </c>
      <c r="P48" s="61"/>
      <c r="Q48" s="62">
        <f>IF(OR(AND(OR('IceBank Account'!G11=0,ISBLANK('IceBank Account'!G11)),'IceBank Account'!B11="P"),AND(OR('IceBank Account'!G11=0,ISBLANK('IceBank Account'!G11)),'IceBank Account'!B11="I"),(OR('IceBank Account'!$P$4=0,ISBLANK('IceBank Account'!$P$4))),'IceBank Account'!C11=0),0,
IF('IceBank Account'!B11="F",0,
IF('IceBank Account'!C11-'IceBank Account'!$U$4*'IceBank Account'!H11&gt;'IceBank Account'!$P$4*'IceBank Account'!G11,'IceBank Account'!$P$4*'IceBank Account'!G11,'IceBank Account'!C11-('IceBank Account'!$U$4*'IceBank Account'!H11))))</f>
        <v>0</v>
      </c>
      <c r="R48" s="62">
        <f>IF(OR(AND(OR('IceBank Account'!H11=0,ISBLANK('IceBank Account'!H11)),'IceBank Account'!B11="P"),AND(OR('IceBank Account'!H11=0,ISBLANK('IceBank Account'!H11)),'IceBank Account'!B11="I"),(OR('IceBank Account'!$U$4=0,ISBLANK('IceBank Account'!$U$4))),'IceBank Account'!C11=0),0,
IF('IceBank Account'!B11="F",0,
IF('Chiller Calcs'!Q48&gt;'IceBank Account'!C11,0,IF('IceBank Account'!C11-'Chiller Calcs'!Q48&gt;'IceBank Account'!$U$4*'IceBank Account'!H11,'IceBank Account'!$U$4*'IceBank Account'!H11,'IceBank Account'!C11-'Chiller Calcs'!Q48))))</f>
        <v>0</v>
      </c>
      <c r="S48" s="46">
        <f t="shared" si="21"/>
        <v>0</v>
      </c>
      <c r="T48" s="47">
        <f>IF(F48="F",0,
      IF('IceBank Account'!$U$4&gt;S48,'IceBank Account'!$U$4,S48-'IceBank Account'!$U$4))</f>
        <v>0</v>
      </c>
      <c r="U48" s="46">
        <f t="shared" si="25"/>
        <v>0</v>
      </c>
      <c r="V48" s="46">
        <f t="shared" si="22"/>
        <v>0</v>
      </c>
      <c r="W48" s="65">
        <f>IF(IF(OR(ISBLANK('IceBank Account'!B11),ISBLANK('IceBank Account'!C11)),"",
IF('IceBank Account'!B11="F",'IceBank Account'!C11,
IF('IceBank Account'!B11="P",'IceBank Account'!C11-((IF(OR('IceBank Account'!G11=0,ISBLANK('IceBank Account'!G11)),0,'IceBank Account'!$P$4*'IceBank Account'!G11))+(IF(OR('IceBank Account'!H11=0,ISBLANK('IceBank Account'!H11)),0,'IceBank Account'!$U$4*'IceBank Account'!H11))),
                   IF('IceBank Account'!B11="I",IF('IceBank Account'!C11-(((IF(OR('IceBank Account'!G11=0,ISBLANK('IceBank Account'!G11)),0,'IceBank Account'!$P$4))*'IceBank Account'!G11)+((IF(OR('IceBank Account'!H11=0,ISBLANK('IceBank Account'!H11)),0,'IceBank Account'!$U$4))*'IceBank Account'!H11))&lt;0,0,
'IceBank Account'!C11-(((IF(OR('IceBank Account'!G11=0,ISBLANK('IceBank Account'!G11)),0,'IceBank Account'!$P$4*'IceBank Account'!G11))+(IF(OR('IceBank Account'!H11=0,ISBLANK('IceBank Account'!H11)),0,'IceBank Account'!$U$4*'IceBank Account'!H11))))),""))))&lt;0,0,
IF(OR(ISBLANK('IceBank Account'!B11),ISBLANK('IceBank Account'!C11)),"",IF('IceBank Account'!B11="F",'IceBank Account'!C11,IF('IceBank Account'!B11="P",'IceBank Account'!C11-((IF(OR('IceBank Account'!G11=0,ISBLANK('IceBank Account'!G11)),0,'IceBank Account'!$P$4*'IceBank Account'!G11))+(IF(OR('IceBank Account'!H11=0,ISBLANK('IceBank Account'!H11)),0,'IceBank Account'!$U$4*'IceBank Account'!H11))),IF('IceBank Account'!B11="I",IF('IceBank Account'!C11-(((IF(OR('IceBank Account'!G11=0,ISBLANK('IceBank Account'!G11)),0,'IceBank Account'!$P$4))*'IceBank Account'!G11)+((IF(OR('IceBank Account'!H11=0,ISBLANK('IceBank Account'!H11)),0,'IceBank Account'!$U$4))*'IceBank Account'!H11))&lt;0,0,'IceBank Account'!C11-(((IF(OR('IceBank Account'!G11=0,ISBLANK('IceBank Account'!G11)),0,'IceBank Account'!$P$4*'IceBank Account'!G11))+(IF(OR('IceBank Account'!H11=0,ISBLANK('IceBank Account'!H11)),0,'IceBank Account'!$U$4*'IceBank Account'!H11))))),"")))))</f>
        <v>0</v>
      </c>
      <c r="X48" s="65">
        <f t="shared" si="23"/>
        <v>0</v>
      </c>
      <c r="Z48" s="2">
        <f t="shared" si="24"/>
        <v>0</v>
      </c>
      <c r="AD48" s="46"/>
      <c r="AE48" s="46"/>
    </row>
    <row r="49" spans="5:31">
      <c r="E49" s="46">
        <f t="shared" si="17"/>
        <v>0</v>
      </c>
      <c r="F49" s="71" t="str">
        <f>'IceBank Account'!B12</f>
        <v>P</v>
      </c>
      <c r="G49" s="47">
        <v>5</v>
      </c>
      <c r="H49" s="61">
        <f>IF('IceBank Account'!B12="P",
                  IF('IceBank Account'!C12-(('IceBank Account'!$F$4*'IceBank Account'!E12)+(IF('IceBank Account'!$K$4="",0,('IceBank Account'!$K$4*'IceBank Account'!F12)))+('IceBank Account'!$P$4*'IceBank Account'!G12)+('IceBank Account'!$U$4*'IceBank Account'!H12))&lt;0,
                                 0,
                       'IceBank Account'!C12-(('IceBank Account'!$F$4*'IceBank Account'!E12)+(IF('IceBank Account'!$K$4="",0,('IceBank Account'!$K$4*'IceBank Account'!F12)))+('IceBank Account'!$P$4*'IceBank Account'!G12)+('IceBank Account'!$U$4*'IceBank Account'!H12))),
0)</f>
        <v>0</v>
      </c>
      <c r="I49" s="61">
        <f>IF('IceBank Account'!B12="F",'IceBank Account'!D12,0)</f>
        <v>0</v>
      </c>
      <c r="J49" s="61">
        <f>IF('IceBank Account'!B12="I",
                       IF((IF('IceBank Account'!$F$4="",0,'IceBank Account'!$F$4*'IceBank Account'!E12))+(IF('IceBank Account'!$K$4="",0,'IceBank Account'!$K$4*'IceBank Account'!F12))-('IceBank Account'!J12+'IceBank Account'!K12)&lt;0,
                                      0,
                             (IF('IceBank Account'!$F$4="",0,'IceBank Account'!$F$4*'IceBank Account'!E12))+((IF('IceBank Account'!$K$4="",0,'IceBank Account'!$K$4*'IceBank Account'!F12)))-('IceBank Account'!J12+'IceBank Account'!K12)),
0)</f>
        <v>0</v>
      </c>
      <c r="K49" s="61">
        <f>IF(AND(OR('IceBank Account'!$F$6=0,ISBLANK('IceBank Account'!$F$6)),'Chiller Calcs'!F49="P"),
     0,
IF(AND(OR('IceBank Account'!$F$5=0,ISBLANK('IceBank Account'!$F$5)),'Chiller Calcs'!F49="I"),
                  0,
              IF('IceBank Account'!$F$4="",0,IF(((IF(OR('IceBank Account'!B12="I",'IceBank Account'!B12="P"),
                              'Chiller Calcs'!W49,
              IF('IceBank Account'!B12="F",0,"")))-'Chiller Calcs'!H49)&gt;('IceBank Account'!$F$4*'IceBank Account'!E12),
                                   ('IceBank Account'!$F$4*'IceBank Account'!E12),
                       (IF(OR('IceBank Account'!B12="I",'IceBank Account'!B12="P"),
                                   'Chiller Calcs'!W49,
                        IF('IceBank Account'!B12="F",0,"")))-'Chiller Calcs'!H49))))</f>
        <v>0</v>
      </c>
      <c r="L49" s="61">
        <f>IF(AND(OR('IceBank Account'!$K$6=0,ISBLANK('IceBank Account'!$K$6)),'Chiller Calcs'!F49="P"),0,IF(AND(OR('IceBank Account'!$K$5=0,ISBLANK('IceBank Account'!$K$5)),'Chiller Calcs'!F49="I"),0,IF('IceBank Account'!$K$4="",0,IF(((IF(OR('IceBank Account'!B12="I",'IceBank Account'!B12="P"),'Chiller Calcs'!W49,IF('IceBank Account'!B12="F",0,"")))-'Chiller Calcs'!H49)&gt;('IceBank Account'!$K$4*'IceBank Account'!F12),('IceBank Account'!$K$4*'IceBank Account'!F12),(IF(OR('IceBank Account'!B12="I",'IceBank Account'!B12="P"),'Chiller Calcs'!W49,IF('IceBank Account'!B12="F",0,"")))-'Chiller Calcs'!H49))))</f>
        <v>0</v>
      </c>
      <c r="M49" s="61">
        <f t="shared" si="18"/>
        <v>0</v>
      </c>
      <c r="N49" s="61">
        <f t="shared" si="19"/>
        <v>0</v>
      </c>
      <c r="O49" s="61">
        <f t="shared" si="20"/>
        <v>0</v>
      </c>
      <c r="P49" s="61"/>
      <c r="Q49" s="62">
        <f>IF(OR(AND(OR('IceBank Account'!G12=0,ISBLANK('IceBank Account'!G12)),'IceBank Account'!B12="P"),AND(OR('IceBank Account'!G12=0,ISBLANK('IceBank Account'!G12)),'IceBank Account'!B12="I"),(OR('IceBank Account'!$P$4=0,ISBLANK('IceBank Account'!$P$4))),'IceBank Account'!C12=0),0,
IF('IceBank Account'!B12="F",0,
IF('IceBank Account'!C12-'IceBank Account'!$U$4*'IceBank Account'!H12&gt;'IceBank Account'!$P$4*'IceBank Account'!G12,'IceBank Account'!$P$4*'IceBank Account'!G12,'IceBank Account'!C12-('IceBank Account'!$U$4*'IceBank Account'!H12))))</f>
        <v>0</v>
      </c>
      <c r="R49" s="62">
        <f>IF(OR(AND(OR('IceBank Account'!H12=0,ISBLANK('IceBank Account'!H12)),'IceBank Account'!B12="P"),AND(OR('IceBank Account'!H12=0,ISBLANK('IceBank Account'!H12)),'IceBank Account'!B12="I"),(OR('IceBank Account'!$U$4=0,ISBLANK('IceBank Account'!$U$4))),'IceBank Account'!C12=0),0,
IF('IceBank Account'!B12="F",0,
IF('Chiller Calcs'!Q49&gt;'IceBank Account'!C12,0,IF('IceBank Account'!C12-'Chiller Calcs'!Q49&gt;'IceBank Account'!$U$4*'IceBank Account'!H12,'IceBank Account'!$U$4*'IceBank Account'!H12,'IceBank Account'!C12-'Chiller Calcs'!Q49))))</f>
        <v>0</v>
      </c>
      <c r="S49" s="46">
        <f t="shared" si="21"/>
        <v>0</v>
      </c>
      <c r="T49" s="47">
        <f>IF(F49="F",0,
      IF('IceBank Account'!$U$4&gt;S49,'IceBank Account'!$U$4,S49-'IceBank Account'!$U$4))</f>
        <v>0</v>
      </c>
      <c r="U49" s="46">
        <f t="shared" si="25"/>
        <v>0</v>
      </c>
      <c r="V49" s="46">
        <f t="shared" si="22"/>
        <v>0</v>
      </c>
      <c r="W49" s="65">
        <f>IF(IF(OR(ISBLANK('IceBank Account'!B12),ISBLANK('IceBank Account'!C12)),"",
IF('IceBank Account'!B12="F",'IceBank Account'!C12,
IF('IceBank Account'!B12="P",'IceBank Account'!C12-((IF(OR('IceBank Account'!G12=0,ISBLANK('IceBank Account'!G12)),0,'IceBank Account'!$P$4*'IceBank Account'!G12))+(IF(OR('IceBank Account'!H12=0,ISBLANK('IceBank Account'!H12)),0,'IceBank Account'!$U$4*'IceBank Account'!H12))),
                   IF('IceBank Account'!B12="I",IF('IceBank Account'!C12-(((IF(OR('IceBank Account'!G12=0,ISBLANK('IceBank Account'!G12)),0,'IceBank Account'!$P$4))*'IceBank Account'!G12)+((IF(OR('IceBank Account'!H12=0,ISBLANK('IceBank Account'!H12)),0,'IceBank Account'!$U$4))*'IceBank Account'!H12))&lt;0,0,
'IceBank Account'!C12-(((IF(OR('IceBank Account'!G12=0,ISBLANK('IceBank Account'!G12)),0,'IceBank Account'!$P$4*'IceBank Account'!G12))+(IF(OR('IceBank Account'!H12=0,ISBLANK('IceBank Account'!H12)),0,'IceBank Account'!$U$4*'IceBank Account'!H12))))),""))))&lt;0,0,
IF(OR(ISBLANK('IceBank Account'!B12),ISBLANK('IceBank Account'!C12)),"",IF('IceBank Account'!B12="F",'IceBank Account'!C12,IF('IceBank Account'!B12="P",'IceBank Account'!C12-((IF(OR('IceBank Account'!G12=0,ISBLANK('IceBank Account'!G12)),0,'IceBank Account'!$P$4*'IceBank Account'!G12))+(IF(OR('IceBank Account'!H12=0,ISBLANK('IceBank Account'!H12)),0,'IceBank Account'!$U$4*'IceBank Account'!H12))),IF('IceBank Account'!B12="I",IF('IceBank Account'!C12-(((IF(OR('IceBank Account'!G12=0,ISBLANK('IceBank Account'!G12)),0,'IceBank Account'!$P$4))*'IceBank Account'!G12)+((IF(OR('IceBank Account'!H12=0,ISBLANK('IceBank Account'!H12)),0,'IceBank Account'!$U$4))*'IceBank Account'!H12))&lt;0,0,'IceBank Account'!C12-(((IF(OR('IceBank Account'!G12=0,ISBLANK('IceBank Account'!G12)),0,'IceBank Account'!$P$4*'IceBank Account'!G12))+(IF(OR('IceBank Account'!H12=0,ISBLANK('IceBank Account'!H12)),0,'IceBank Account'!$U$4*'IceBank Account'!H12))))),"")))))</f>
        <v>0</v>
      </c>
      <c r="X49" s="65">
        <f t="shared" si="23"/>
        <v>0</v>
      </c>
      <c r="Z49" s="2">
        <f t="shared" si="24"/>
        <v>0</v>
      </c>
      <c r="AD49" s="46"/>
      <c r="AE49" s="46"/>
    </row>
    <row r="50" spans="5:31">
      <c r="E50" s="46">
        <f t="shared" si="17"/>
        <v>0</v>
      </c>
      <c r="F50" s="71" t="str">
        <f>'IceBank Account'!B13</f>
        <v>P</v>
      </c>
      <c r="G50" s="47">
        <v>6</v>
      </c>
      <c r="H50" s="61">
        <f>IF('IceBank Account'!B13="P",
                  IF('IceBank Account'!C13-(('IceBank Account'!$F$4*'IceBank Account'!E13)+(IF('IceBank Account'!$K$4="",0,('IceBank Account'!$K$4*'IceBank Account'!F13)))+('IceBank Account'!$P$4*'IceBank Account'!G13)+('IceBank Account'!$U$4*'IceBank Account'!H13))&lt;0,
                                 0,
                       'IceBank Account'!C13-(('IceBank Account'!$F$4*'IceBank Account'!E13)+(IF('IceBank Account'!$K$4="",0,('IceBank Account'!$K$4*'IceBank Account'!F13)))+('IceBank Account'!$P$4*'IceBank Account'!G13)+('IceBank Account'!$U$4*'IceBank Account'!H13))),
0)</f>
        <v>0</v>
      </c>
      <c r="I50" s="61">
        <f>IF('IceBank Account'!B13="F",'IceBank Account'!D13,0)</f>
        <v>0</v>
      </c>
      <c r="J50" s="61">
        <f>IF('IceBank Account'!B13="I",
                       IF((IF('IceBank Account'!$F$4="",0,'IceBank Account'!$F$4*'IceBank Account'!E13))+(IF('IceBank Account'!$K$4="",0,'IceBank Account'!$K$4*'IceBank Account'!F13))-('IceBank Account'!J13+'IceBank Account'!K13)&lt;0,
                                      0,
                             (IF('IceBank Account'!$F$4="",0,'IceBank Account'!$F$4*'IceBank Account'!E13))+((IF('IceBank Account'!$K$4="",0,'IceBank Account'!$K$4*'IceBank Account'!F13)))-('IceBank Account'!J13+'IceBank Account'!K13)),
0)</f>
        <v>0</v>
      </c>
      <c r="K50" s="61">
        <f>IF(AND(OR('IceBank Account'!$F$6=0,ISBLANK('IceBank Account'!$F$6)),'Chiller Calcs'!F50="P"),
     0,
IF(AND(OR('IceBank Account'!$F$5=0,ISBLANK('IceBank Account'!$F$5)),'Chiller Calcs'!F50="I"),
                  0,
              IF('IceBank Account'!$F$4="",0,IF(((IF(OR('IceBank Account'!B13="I",'IceBank Account'!B13="P"),
                              'Chiller Calcs'!W50,
              IF('IceBank Account'!B13="F",0,"")))-'Chiller Calcs'!H50)&gt;('IceBank Account'!$F$4*'IceBank Account'!E13),
                                   ('IceBank Account'!$F$4*'IceBank Account'!E13),
                       (IF(OR('IceBank Account'!B13="I",'IceBank Account'!B13="P"),
                                   'Chiller Calcs'!W50,
                        IF('IceBank Account'!B13="F",0,"")))-'Chiller Calcs'!H50))))</f>
        <v>0</v>
      </c>
      <c r="L50" s="61">
        <f>IF(AND(OR('IceBank Account'!$K$6=0,ISBLANK('IceBank Account'!$K$6)),'Chiller Calcs'!F50="P"),0,IF(AND(OR('IceBank Account'!$K$5=0,ISBLANK('IceBank Account'!$K$5)),'Chiller Calcs'!F50="I"),0,IF('IceBank Account'!$K$4="",0,IF(((IF(OR('IceBank Account'!B13="I",'IceBank Account'!B13="P"),'Chiller Calcs'!W50,IF('IceBank Account'!B13="F",0,"")))-'Chiller Calcs'!H50)&gt;('IceBank Account'!$K$4*'IceBank Account'!F13),('IceBank Account'!$K$4*'IceBank Account'!F13),(IF(OR('IceBank Account'!B13="I",'IceBank Account'!B13="P"),'Chiller Calcs'!W50,IF('IceBank Account'!B13="F",0,"")))-'Chiller Calcs'!H50))))</f>
        <v>0</v>
      </c>
      <c r="M50" s="61">
        <f t="shared" si="18"/>
        <v>0</v>
      </c>
      <c r="N50" s="61">
        <f t="shared" si="19"/>
        <v>0</v>
      </c>
      <c r="O50" s="61">
        <f t="shared" si="20"/>
        <v>0</v>
      </c>
      <c r="P50" s="61"/>
      <c r="Q50" s="62">
        <f>IF(OR(AND(OR('IceBank Account'!G13=0,ISBLANK('IceBank Account'!G13)),'IceBank Account'!B13="P"),AND(OR('IceBank Account'!G13=0,ISBLANK('IceBank Account'!G13)),'IceBank Account'!B13="I"),(OR('IceBank Account'!$P$4=0,ISBLANK('IceBank Account'!$P$4))),'IceBank Account'!C13=0),0,
IF('IceBank Account'!B13="F",0,
IF('IceBank Account'!C13-'IceBank Account'!$U$4*'IceBank Account'!H13&gt;'IceBank Account'!$P$4*'IceBank Account'!G13,'IceBank Account'!$P$4*'IceBank Account'!G13,'IceBank Account'!C13-('IceBank Account'!$U$4*'IceBank Account'!H13))))</f>
        <v>0</v>
      </c>
      <c r="R50" s="62">
        <f>IF(OR(AND(OR('IceBank Account'!H13=0,ISBLANK('IceBank Account'!H13)),'IceBank Account'!B13="P"),AND(OR('IceBank Account'!H13=0,ISBLANK('IceBank Account'!H13)),'IceBank Account'!B13="I"),(OR('IceBank Account'!$U$4=0,ISBLANK('IceBank Account'!$U$4))),'IceBank Account'!C13=0),0,
IF('IceBank Account'!B13="F",0,
IF('Chiller Calcs'!Q50&gt;'IceBank Account'!C13,0,IF('IceBank Account'!C13-'Chiller Calcs'!Q50&gt;'IceBank Account'!$U$4*'IceBank Account'!H13,'IceBank Account'!$U$4*'IceBank Account'!H13,'IceBank Account'!C13-'Chiller Calcs'!Q50))))</f>
        <v>0</v>
      </c>
      <c r="S50" s="46">
        <f t="shared" si="21"/>
        <v>0</v>
      </c>
      <c r="T50" s="47">
        <f>IF(F50="F",0,
      IF('IceBank Account'!$U$4&gt;S50,'IceBank Account'!$U$4,S50-'IceBank Account'!$U$4))</f>
        <v>0</v>
      </c>
      <c r="U50" s="46">
        <f t="shared" si="25"/>
        <v>0</v>
      </c>
      <c r="V50" s="46">
        <f t="shared" si="22"/>
        <v>0</v>
      </c>
      <c r="W50" s="65">
        <f>IF(IF(OR(ISBLANK('IceBank Account'!B13),ISBLANK('IceBank Account'!C13)),"",
IF('IceBank Account'!B13="F",'IceBank Account'!C13,
IF('IceBank Account'!B13="P",'IceBank Account'!C13-((IF(OR('IceBank Account'!G13=0,ISBLANK('IceBank Account'!G13)),0,'IceBank Account'!$P$4*'IceBank Account'!G13))+(IF(OR('IceBank Account'!H13=0,ISBLANK('IceBank Account'!H13)),0,'IceBank Account'!$U$4*'IceBank Account'!H13))),
                   IF('IceBank Account'!B13="I",IF('IceBank Account'!C13-(((IF(OR('IceBank Account'!G13=0,ISBLANK('IceBank Account'!G13)),0,'IceBank Account'!$P$4))*'IceBank Account'!G13)+((IF(OR('IceBank Account'!H13=0,ISBLANK('IceBank Account'!H13)),0,'IceBank Account'!$U$4))*'IceBank Account'!H13))&lt;0,0,
'IceBank Account'!C13-(((IF(OR('IceBank Account'!G13=0,ISBLANK('IceBank Account'!G13)),0,'IceBank Account'!$P$4*'IceBank Account'!G13))+(IF(OR('IceBank Account'!H13=0,ISBLANK('IceBank Account'!H13)),0,'IceBank Account'!$U$4*'IceBank Account'!H13))))),""))))&lt;0,0,
IF(OR(ISBLANK('IceBank Account'!B13),ISBLANK('IceBank Account'!C13)),"",IF('IceBank Account'!B13="F",'IceBank Account'!C13,IF('IceBank Account'!B13="P",'IceBank Account'!C13-((IF(OR('IceBank Account'!G13=0,ISBLANK('IceBank Account'!G13)),0,'IceBank Account'!$P$4*'IceBank Account'!G13))+(IF(OR('IceBank Account'!H13=0,ISBLANK('IceBank Account'!H13)),0,'IceBank Account'!$U$4*'IceBank Account'!H13))),IF('IceBank Account'!B13="I",IF('IceBank Account'!C13-(((IF(OR('IceBank Account'!G13=0,ISBLANK('IceBank Account'!G13)),0,'IceBank Account'!$P$4))*'IceBank Account'!G13)+((IF(OR('IceBank Account'!H13=0,ISBLANK('IceBank Account'!H13)),0,'IceBank Account'!$U$4))*'IceBank Account'!H13))&lt;0,0,'IceBank Account'!C13-(((IF(OR('IceBank Account'!G13=0,ISBLANK('IceBank Account'!G13)),0,'IceBank Account'!$P$4*'IceBank Account'!G13))+(IF(OR('IceBank Account'!H13=0,ISBLANK('IceBank Account'!H13)),0,'IceBank Account'!$U$4*'IceBank Account'!H13))))),"")))))</f>
        <v>0</v>
      </c>
      <c r="X50" s="65">
        <f t="shared" si="23"/>
        <v>0</v>
      </c>
      <c r="Z50" s="2">
        <f t="shared" si="24"/>
        <v>0</v>
      </c>
      <c r="AD50" s="46"/>
      <c r="AE50" s="46"/>
    </row>
    <row r="51" spans="5:31">
      <c r="E51" s="46">
        <f t="shared" si="17"/>
        <v>62.5</v>
      </c>
      <c r="F51" s="71" t="str">
        <f>'IceBank Account'!B14</f>
        <v>P</v>
      </c>
      <c r="G51" s="47">
        <v>7</v>
      </c>
      <c r="H51" s="61">
        <f>IF('IceBank Account'!B14="P",
                  IF('IceBank Account'!C14-(('IceBank Account'!$F$4*'IceBank Account'!E14)+(IF('IceBank Account'!$K$4="",0,('IceBank Account'!$K$4*'IceBank Account'!F14)))+('IceBank Account'!$P$4*'IceBank Account'!G14)+('IceBank Account'!$U$4*'IceBank Account'!H14))&lt;0,
                                 0,
                       'IceBank Account'!C14-(('IceBank Account'!$F$4*'IceBank Account'!E14)+(IF('IceBank Account'!$K$4="",0,('IceBank Account'!$K$4*'IceBank Account'!F14)))+('IceBank Account'!$P$4*'IceBank Account'!G14)+('IceBank Account'!$U$4*'IceBank Account'!H14))),
0)</f>
        <v>0</v>
      </c>
      <c r="I51" s="61">
        <f>IF('IceBank Account'!B14="F",'IceBank Account'!D14,0)</f>
        <v>0</v>
      </c>
      <c r="J51" s="61">
        <f>IF('IceBank Account'!B14="I",
                       IF((IF('IceBank Account'!$F$4="",0,'IceBank Account'!$F$4*'IceBank Account'!E14))+(IF('IceBank Account'!$K$4="",0,'IceBank Account'!$K$4*'IceBank Account'!F14))-('IceBank Account'!J14+'IceBank Account'!K14)&lt;0,
                                      0,
                             (IF('IceBank Account'!$F$4="",0,'IceBank Account'!$F$4*'IceBank Account'!E14))+((IF('IceBank Account'!$K$4="",0,'IceBank Account'!$K$4*'IceBank Account'!F14)))-('IceBank Account'!J14+'IceBank Account'!K14)),
0)</f>
        <v>0</v>
      </c>
      <c r="K51" s="61">
        <f>IF(AND(OR('IceBank Account'!$F$6=0,ISBLANK('IceBank Account'!$F$6)),'Chiller Calcs'!F51="P"),
     0,
IF(AND(OR('IceBank Account'!$F$5=0,ISBLANK('IceBank Account'!$F$5)),'Chiller Calcs'!F51="I"),
                  0,
              IF('IceBank Account'!$F$4="",0,IF(((IF(OR('IceBank Account'!B14="I",'IceBank Account'!B14="P"),
                              'Chiller Calcs'!W51,
              IF('IceBank Account'!B14="F",0,"")))-'Chiller Calcs'!H51)&gt;('IceBank Account'!$F$4*'IceBank Account'!E14),
                                   ('IceBank Account'!$F$4*'IceBank Account'!E14),
                       (IF(OR('IceBank Account'!B14="I",'IceBank Account'!B14="P"),
                                   'Chiller Calcs'!W51,
                        IF('IceBank Account'!B14="F",0,"")))-'Chiller Calcs'!H51))))</f>
        <v>62.5</v>
      </c>
      <c r="L51" s="61">
        <f>IF(AND(OR('IceBank Account'!$K$6=0,ISBLANK('IceBank Account'!$K$6)),'Chiller Calcs'!F51="P"),0,IF(AND(OR('IceBank Account'!$K$5=0,ISBLANK('IceBank Account'!$K$5)),'Chiller Calcs'!F51="I"),0,IF('IceBank Account'!$K$4="",0,IF(((IF(OR('IceBank Account'!B14="I",'IceBank Account'!B14="P"),'Chiller Calcs'!W51,IF('IceBank Account'!B14="F",0,"")))-'Chiller Calcs'!H51)&gt;('IceBank Account'!$K$4*'IceBank Account'!F14),('IceBank Account'!$K$4*'IceBank Account'!F14),(IF(OR('IceBank Account'!B14="I",'IceBank Account'!B14="P"),'Chiller Calcs'!W51,IF('IceBank Account'!B14="F",0,"")))-'Chiller Calcs'!H51))))</f>
        <v>0</v>
      </c>
      <c r="M51" s="61">
        <f t="shared" si="18"/>
        <v>62.5</v>
      </c>
      <c r="N51" s="61">
        <f t="shared" si="19"/>
        <v>62.5</v>
      </c>
      <c r="O51" s="61">
        <f t="shared" si="20"/>
        <v>0</v>
      </c>
      <c r="P51" s="61"/>
      <c r="Q51" s="62">
        <f>IF(OR(AND(OR('IceBank Account'!G14=0,ISBLANK('IceBank Account'!G14)),'IceBank Account'!B14="P"),AND(OR('IceBank Account'!G14=0,ISBLANK('IceBank Account'!G14)),'IceBank Account'!B14="I"),(OR('IceBank Account'!$P$4=0,ISBLANK('IceBank Account'!$P$4))),'IceBank Account'!C14=0),0,
IF('IceBank Account'!B14="F",0,
IF('IceBank Account'!C14-'IceBank Account'!$U$4*'IceBank Account'!H14&gt;'IceBank Account'!$P$4*'IceBank Account'!G14,'IceBank Account'!$P$4*'IceBank Account'!G14,'IceBank Account'!C14-('IceBank Account'!$U$4*'IceBank Account'!H14))))</f>
        <v>0</v>
      </c>
      <c r="R51" s="62">
        <f>IF(OR(AND(OR('IceBank Account'!H14=0,ISBLANK('IceBank Account'!H14)),'IceBank Account'!B14="P"),AND(OR('IceBank Account'!H14=0,ISBLANK('IceBank Account'!H14)),'IceBank Account'!B14="I"),(OR('IceBank Account'!$U$4=0,ISBLANK('IceBank Account'!$U$4))),'IceBank Account'!C14=0),0,
IF('IceBank Account'!B14="F",0,
IF('Chiller Calcs'!Q51&gt;'IceBank Account'!C14,0,IF('IceBank Account'!C14-'Chiller Calcs'!Q51&gt;'IceBank Account'!$U$4*'IceBank Account'!H14,'IceBank Account'!$U$4*'IceBank Account'!H14,'IceBank Account'!C14-'Chiller Calcs'!Q51))))</f>
        <v>0</v>
      </c>
      <c r="S51" s="46">
        <f t="shared" si="21"/>
        <v>0</v>
      </c>
      <c r="T51" s="47">
        <f>IF(F51="F",0,
      IF('IceBank Account'!$U$4&gt;S51,'IceBank Account'!$U$4,S51-'IceBank Account'!$U$4))</f>
        <v>0</v>
      </c>
      <c r="U51" s="46">
        <f t="shared" si="25"/>
        <v>0</v>
      </c>
      <c r="V51" s="46">
        <f t="shared" si="22"/>
        <v>0</v>
      </c>
      <c r="W51" s="65">
        <f>IF(IF(OR(ISBLANK('IceBank Account'!B14),ISBLANK('IceBank Account'!C14)),"",
IF('IceBank Account'!B14="F",'IceBank Account'!C14,
IF('IceBank Account'!B14="P",'IceBank Account'!C14-((IF(OR('IceBank Account'!G14=0,ISBLANK('IceBank Account'!G14)),0,'IceBank Account'!$P$4*'IceBank Account'!G14))+(IF(OR('IceBank Account'!H14=0,ISBLANK('IceBank Account'!H14)),0,'IceBank Account'!$U$4*'IceBank Account'!H14))),
                   IF('IceBank Account'!B14="I",IF('IceBank Account'!C14-(((IF(OR('IceBank Account'!G14=0,ISBLANK('IceBank Account'!G14)),0,'IceBank Account'!$P$4))*'IceBank Account'!G14)+((IF(OR('IceBank Account'!H14=0,ISBLANK('IceBank Account'!H14)),0,'IceBank Account'!$U$4))*'IceBank Account'!H14))&lt;0,0,
'IceBank Account'!C14-(((IF(OR('IceBank Account'!G14=0,ISBLANK('IceBank Account'!G14)),0,'IceBank Account'!$P$4*'IceBank Account'!G14))+(IF(OR('IceBank Account'!H14=0,ISBLANK('IceBank Account'!H14)),0,'IceBank Account'!$U$4*'IceBank Account'!H14))))),""))))&lt;0,0,
IF(OR(ISBLANK('IceBank Account'!B14),ISBLANK('IceBank Account'!C14)),"",IF('IceBank Account'!B14="F",'IceBank Account'!C14,IF('IceBank Account'!B14="P",'IceBank Account'!C14-((IF(OR('IceBank Account'!G14=0,ISBLANK('IceBank Account'!G14)),0,'IceBank Account'!$P$4*'IceBank Account'!G14))+(IF(OR('IceBank Account'!H14=0,ISBLANK('IceBank Account'!H14)),0,'IceBank Account'!$U$4*'IceBank Account'!H14))),IF('IceBank Account'!B14="I",IF('IceBank Account'!C14-(((IF(OR('IceBank Account'!G14=0,ISBLANK('IceBank Account'!G14)),0,'IceBank Account'!$P$4))*'IceBank Account'!G14)+((IF(OR('IceBank Account'!H14=0,ISBLANK('IceBank Account'!H14)),0,'IceBank Account'!$U$4))*'IceBank Account'!H14))&lt;0,0,'IceBank Account'!C14-(((IF(OR('IceBank Account'!G14=0,ISBLANK('IceBank Account'!G14)),0,'IceBank Account'!$P$4*'IceBank Account'!G14))+(IF(OR('IceBank Account'!H14=0,ISBLANK('IceBank Account'!H14)),0,'IceBank Account'!$U$4*'IceBank Account'!H14))))),"")))))</f>
        <v>62.5</v>
      </c>
      <c r="X51" s="65">
        <f t="shared" si="23"/>
        <v>0</v>
      </c>
      <c r="Z51" s="2">
        <f t="shared" si="24"/>
        <v>0</v>
      </c>
      <c r="AD51" s="46"/>
      <c r="AE51" s="46"/>
    </row>
    <row r="52" spans="5:31">
      <c r="E52" s="46">
        <f t="shared" si="17"/>
        <v>112.5</v>
      </c>
      <c r="F52" s="71" t="str">
        <f>'IceBank Account'!B15</f>
        <v>P</v>
      </c>
      <c r="G52" s="47">
        <v>8</v>
      </c>
      <c r="H52" s="61">
        <f>IF('IceBank Account'!B15="P",
                  IF('IceBank Account'!C15-(('IceBank Account'!$F$4*'IceBank Account'!E15)+(IF('IceBank Account'!$K$4="",0,('IceBank Account'!$K$4*'IceBank Account'!F15)))+('IceBank Account'!$P$4*'IceBank Account'!G15)+('IceBank Account'!$U$4*'IceBank Account'!H15))&lt;0,
                                 0,
                       'IceBank Account'!C15-(('IceBank Account'!$F$4*'IceBank Account'!E15)+(IF('IceBank Account'!$K$4="",0,('IceBank Account'!$K$4*'IceBank Account'!F15)))+('IceBank Account'!$P$4*'IceBank Account'!G15)+('IceBank Account'!$U$4*'IceBank Account'!H15))),
0)</f>
        <v>0</v>
      </c>
      <c r="I52" s="61">
        <f>IF('IceBank Account'!B15="F",'IceBank Account'!D15,0)</f>
        <v>0</v>
      </c>
      <c r="J52" s="61">
        <f>IF('IceBank Account'!B15="I",
                       IF((IF('IceBank Account'!$F$4="",0,'IceBank Account'!$F$4*'IceBank Account'!E15))+(IF('IceBank Account'!$K$4="",0,'IceBank Account'!$K$4*'IceBank Account'!F15))-('IceBank Account'!J15+'IceBank Account'!K15)&lt;0,
                                      0,
                             (IF('IceBank Account'!$F$4="",0,'IceBank Account'!$F$4*'IceBank Account'!E15))+((IF('IceBank Account'!$K$4="",0,'IceBank Account'!$K$4*'IceBank Account'!F15)))-('IceBank Account'!J15+'IceBank Account'!K15)),
0)</f>
        <v>0</v>
      </c>
      <c r="K52" s="61">
        <f>IF(AND(OR('IceBank Account'!$F$6=0,ISBLANK('IceBank Account'!$F$6)),'Chiller Calcs'!F52="P"),
     0,
IF(AND(OR('IceBank Account'!$F$5=0,ISBLANK('IceBank Account'!$F$5)),'Chiller Calcs'!F52="I"),
                  0,
              IF('IceBank Account'!$F$4="",0,IF(((IF(OR('IceBank Account'!B15="I",'IceBank Account'!B15="P"),
                              'Chiller Calcs'!W52,
              IF('IceBank Account'!B15="F",0,"")))-'Chiller Calcs'!H52)&gt;('IceBank Account'!$F$4*'IceBank Account'!E15),
                                   ('IceBank Account'!$F$4*'IceBank Account'!E15),
                       (IF(OR('IceBank Account'!B15="I",'IceBank Account'!B15="P"),
                                   'Chiller Calcs'!W52,
                        IF('IceBank Account'!B15="F",0,"")))-'Chiller Calcs'!H52))))</f>
        <v>112.5</v>
      </c>
      <c r="L52" s="61">
        <f>IF(AND(OR('IceBank Account'!$K$6=0,ISBLANK('IceBank Account'!$K$6)),'Chiller Calcs'!F52="P"),0,IF(AND(OR('IceBank Account'!$K$5=0,ISBLANK('IceBank Account'!$K$5)),'Chiller Calcs'!F52="I"),0,IF('IceBank Account'!$K$4="",0,IF(((IF(OR('IceBank Account'!B15="I",'IceBank Account'!B15="P"),'Chiller Calcs'!W52,IF('IceBank Account'!B15="F",0,"")))-'Chiller Calcs'!H52)&gt;('IceBank Account'!$K$4*'IceBank Account'!F15),('IceBank Account'!$K$4*'IceBank Account'!F15),(IF(OR('IceBank Account'!B15="I",'IceBank Account'!B15="P"),'Chiller Calcs'!W52,IF('IceBank Account'!B15="F",0,"")))-'Chiller Calcs'!H52))))</f>
        <v>0</v>
      </c>
      <c r="M52" s="61">
        <f t="shared" si="18"/>
        <v>112.5</v>
      </c>
      <c r="N52" s="61">
        <f t="shared" si="19"/>
        <v>112.5</v>
      </c>
      <c r="O52" s="61">
        <f t="shared" si="20"/>
        <v>0</v>
      </c>
      <c r="P52" s="61"/>
      <c r="Q52" s="62">
        <f>IF(OR(AND(OR('IceBank Account'!G15=0,ISBLANK('IceBank Account'!G15)),'IceBank Account'!B15="P"),AND(OR('IceBank Account'!G15=0,ISBLANK('IceBank Account'!G15)),'IceBank Account'!B15="I"),(OR('IceBank Account'!$P$4=0,ISBLANK('IceBank Account'!$P$4))),'IceBank Account'!C15=0),0,
IF('IceBank Account'!B15="F",0,
IF('IceBank Account'!C15-'IceBank Account'!$U$4*'IceBank Account'!H15&gt;'IceBank Account'!$P$4*'IceBank Account'!G15,'IceBank Account'!$P$4*'IceBank Account'!G15,'IceBank Account'!C15-('IceBank Account'!$U$4*'IceBank Account'!H15))))</f>
        <v>0</v>
      </c>
      <c r="R52" s="62">
        <f>IF(OR(AND(OR('IceBank Account'!H15=0,ISBLANK('IceBank Account'!H15)),'IceBank Account'!B15="P"),AND(OR('IceBank Account'!H15=0,ISBLANK('IceBank Account'!H15)),'IceBank Account'!B15="I"),(OR('IceBank Account'!$U$4=0,ISBLANK('IceBank Account'!$U$4))),'IceBank Account'!C15=0),0,
IF('IceBank Account'!B15="F",0,
IF('Chiller Calcs'!Q52&gt;'IceBank Account'!C15,0,IF('IceBank Account'!C15-'Chiller Calcs'!Q52&gt;'IceBank Account'!$U$4*'IceBank Account'!H15,'IceBank Account'!$U$4*'IceBank Account'!H15,'IceBank Account'!C15-'Chiller Calcs'!Q52))))</f>
        <v>0</v>
      </c>
      <c r="S52" s="46">
        <f t="shared" si="21"/>
        <v>0</v>
      </c>
      <c r="T52" s="47">
        <f>IF(F52="F",0,
      IF('IceBank Account'!$U$4&gt;S52,'IceBank Account'!$U$4,S52-'IceBank Account'!$U$4))</f>
        <v>0</v>
      </c>
      <c r="U52" s="46">
        <f t="shared" si="25"/>
        <v>0</v>
      </c>
      <c r="V52" s="46">
        <f t="shared" si="22"/>
        <v>0</v>
      </c>
      <c r="W52" s="65">
        <f>IF(IF(OR(ISBLANK('IceBank Account'!B15),ISBLANK('IceBank Account'!C15)),"",
IF('IceBank Account'!B15="F",'IceBank Account'!C15,
IF('IceBank Account'!B15="P",'IceBank Account'!C15-((IF(OR('IceBank Account'!G15=0,ISBLANK('IceBank Account'!G15)),0,'IceBank Account'!$P$4*'IceBank Account'!G15))+(IF(OR('IceBank Account'!H15=0,ISBLANK('IceBank Account'!H15)),0,'IceBank Account'!$U$4*'IceBank Account'!H15))),
                   IF('IceBank Account'!B15="I",IF('IceBank Account'!C15-(((IF(OR('IceBank Account'!G15=0,ISBLANK('IceBank Account'!G15)),0,'IceBank Account'!$P$4))*'IceBank Account'!G15)+((IF(OR('IceBank Account'!H15=0,ISBLANK('IceBank Account'!H15)),0,'IceBank Account'!$U$4))*'IceBank Account'!H15))&lt;0,0,
'IceBank Account'!C15-(((IF(OR('IceBank Account'!G15=0,ISBLANK('IceBank Account'!G15)),0,'IceBank Account'!$P$4*'IceBank Account'!G15))+(IF(OR('IceBank Account'!H15=0,ISBLANK('IceBank Account'!H15)),0,'IceBank Account'!$U$4*'IceBank Account'!H15))))),""))))&lt;0,0,
IF(OR(ISBLANK('IceBank Account'!B15),ISBLANK('IceBank Account'!C15)),"",IF('IceBank Account'!B15="F",'IceBank Account'!C15,IF('IceBank Account'!B15="P",'IceBank Account'!C15-((IF(OR('IceBank Account'!G15=0,ISBLANK('IceBank Account'!G15)),0,'IceBank Account'!$P$4*'IceBank Account'!G15))+(IF(OR('IceBank Account'!H15=0,ISBLANK('IceBank Account'!H15)),0,'IceBank Account'!$U$4*'IceBank Account'!H15))),IF('IceBank Account'!B15="I",IF('IceBank Account'!C15-(((IF(OR('IceBank Account'!G15=0,ISBLANK('IceBank Account'!G15)),0,'IceBank Account'!$P$4))*'IceBank Account'!G15)+((IF(OR('IceBank Account'!H15=0,ISBLANK('IceBank Account'!H15)),0,'IceBank Account'!$U$4))*'IceBank Account'!H15))&lt;0,0,'IceBank Account'!C15-(((IF(OR('IceBank Account'!G15=0,ISBLANK('IceBank Account'!G15)),0,'IceBank Account'!$P$4*'IceBank Account'!G15))+(IF(OR('IceBank Account'!H15=0,ISBLANK('IceBank Account'!H15)),0,'IceBank Account'!$U$4*'IceBank Account'!H15))))),"")))))</f>
        <v>112.5</v>
      </c>
      <c r="X52" s="65">
        <f t="shared" si="23"/>
        <v>0</v>
      </c>
      <c r="Z52" s="2">
        <f t="shared" si="24"/>
        <v>0</v>
      </c>
      <c r="AD52" s="46"/>
      <c r="AE52" s="46"/>
    </row>
    <row r="53" spans="5:31">
      <c r="E53" s="46">
        <f t="shared" si="17"/>
        <v>187.5</v>
      </c>
      <c r="F53" s="71" t="str">
        <f>'IceBank Account'!B16</f>
        <v>P</v>
      </c>
      <c r="G53" s="47">
        <v>9</v>
      </c>
      <c r="H53" s="61">
        <f>IF('IceBank Account'!B16="P",
                  IF('IceBank Account'!C16-(('IceBank Account'!$F$4*'IceBank Account'!E16)+(IF('IceBank Account'!$K$4="",0,('IceBank Account'!$K$4*'IceBank Account'!F16)))+('IceBank Account'!$P$4*'IceBank Account'!G16)+('IceBank Account'!$U$4*'IceBank Account'!H16))&lt;0,
                                 0,
                       'IceBank Account'!C16-(('IceBank Account'!$F$4*'IceBank Account'!E16)+(IF('IceBank Account'!$K$4="",0,('IceBank Account'!$K$4*'IceBank Account'!F16)))+('IceBank Account'!$P$4*'IceBank Account'!G16)+('IceBank Account'!$U$4*'IceBank Account'!H16))),
0)</f>
        <v>39.564220183486242</v>
      </c>
      <c r="I53" s="61">
        <f>IF('IceBank Account'!B16="F",'IceBank Account'!D16,0)</f>
        <v>0</v>
      </c>
      <c r="J53" s="61">
        <f>IF('IceBank Account'!B16="I",
                       IF((IF('IceBank Account'!$F$4="",0,'IceBank Account'!$F$4*'IceBank Account'!E16))+(IF('IceBank Account'!$K$4="",0,'IceBank Account'!$K$4*'IceBank Account'!F16))-('IceBank Account'!J16+'IceBank Account'!K16)&lt;0,
                                      0,
                             (IF('IceBank Account'!$F$4="",0,'IceBank Account'!$F$4*'IceBank Account'!E16))+((IF('IceBank Account'!$K$4="",0,'IceBank Account'!$K$4*'IceBank Account'!F16)))-('IceBank Account'!J16+'IceBank Account'!K16)),
0)</f>
        <v>0</v>
      </c>
      <c r="K53" s="61">
        <f>IF(AND(OR('IceBank Account'!$F$6=0,ISBLANK('IceBank Account'!$F$6)),'Chiller Calcs'!F53="P"),
     0,
IF(AND(OR('IceBank Account'!$F$5=0,ISBLANK('IceBank Account'!$F$5)),'Chiller Calcs'!F53="I"),
                  0,
              IF('IceBank Account'!$F$4="",0,IF(((IF(OR('IceBank Account'!B16="I",'IceBank Account'!B16="P"),
                              'Chiller Calcs'!W53,
              IF('IceBank Account'!B16="F",0,"")))-'Chiller Calcs'!H53)&gt;('IceBank Account'!$F$4*'IceBank Account'!E16),
                                   ('IceBank Account'!$F$4*'IceBank Account'!E16),
                       (IF(OR('IceBank Account'!B16="I",'IceBank Account'!B16="P"),
                                   'Chiller Calcs'!W53,
                        IF('IceBank Account'!B16="F",0,"")))-'Chiller Calcs'!H53))))</f>
        <v>147.93577981651376</v>
      </c>
      <c r="L53" s="61">
        <f>IF(AND(OR('IceBank Account'!$K$6=0,ISBLANK('IceBank Account'!$K$6)),'Chiller Calcs'!F53="P"),0,IF(AND(OR('IceBank Account'!$K$5=0,ISBLANK('IceBank Account'!$K$5)),'Chiller Calcs'!F53="I"),0,IF('IceBank Account'!$K$4="",0,IF(((IF(OR('IceBank Account'!B16="I",'IceBank Account'!B16="P"),'Chiller Calcs'!W53,IF('IceBank Account'!B16="F",0,"")))-'Chiller Calcs'!H53)&gt;('IceBank Account'!$K$4*'IceBank Account'!F16),('IceBank Account'!$K$4*'IceBank Account'!F16),(IF(OR('IceBank Account'!B16="I",'IceBank Account'!B16="P"),'Chiller Calcs'!W53,IF('IceBank Account'!B16="F",0,"")))-'Chiller Calcs'!H53))))</f>
        <v>0</v>
      </c>
      <c r="M53" s="61">
        <f t="shared" si="18"/>
        <v>147.93577981651376</v>
      </c>
      <c r="N53" s="61">
        <f t="shared" si="19"/>
        <v>147.93577981651376</v>
      </c>
      <c r="O53" s="61">
        <f t="shared" si="20"/>
        <v>0</v>
      </c>
      <c r="P53" s="61"/>
      <c r="Q53" s="62">
        <f>IF(OR(AND(OR('IceBank Account'!G16=0,ISBLANK('IceBank Account'!G16)),'IceBank Account'!B16="P"),AND(OR('IceBank Account'!G16=0,ISBLANK('IceBank Account'!G16)),'IceBank Account'!B16="I"),(OR('IceBank Account'!$P$4=0,ISBLANK('IceBank Account'!$P$4))),'IceBank Account'!C16=0),0,
IF('IceBank Account'!B16="F",0,
IF('IceBank Account'!C16-'IceBank Account'!$U$4*'IceBank Account'!H16&gt;'IceBank Account'!$P$4*'IceBank Account'!G16,'IceBank Account'!$P$4*'IceBank Account'!G16,'IceBank Account'!C16-('IceBank Account'!$U$4*'IceBank Account'!H16))))</f>
        <v>0</v>
      </c>
      <c r="R53" s="62">
        <f>IF(OR(AND(OR('IceBank Account'!H16=0,ISBLANK('IceBank Account'!H16)),'IceBank Account'!B16="P"),AND(OR('IceBank Account'!H16=0,ISBLANK('IceBank Account'!H16)),'IceBank Account'!B16="I"),(OR('IceBank Account'!$U$4=0,ISBLANK('IceBank Account'!$U$4))),'IceBank Account'!C16=0),0,
IF('IceBank Account'!B16="F",0,
IF('Chiller Calcs'!Q53&gt;'IceBank Account'!C16,0,IF('IceBank Account'!C16-'Chiller Calcs'!Q53&gt;'IceBank Account'!$U$4*'IceBank Account'!H16,'IceBank Account'!$U$4*'IceBank Account'!H16,'IceBank Account'!C16-'Chiller Calcs'!Q53))))</f>
        <v>0</v>
      </c>
      <c r="S53" s="46">
        <f t="shared" si="21"/>
        <v>0</v>
      </c>
      <c r="T53" s="47">
        <f>IF(F53="F",0,
      IF('IceBank Account'!$U$4&gt;S53,'IceBank Account'!$U$4,S53-'IceBank Account'!$U$4))</f>
        <v>0</v>
      </c>
      <c r="U53" s="46">
        <f t="shared" si="25"/>
        <v>0</v>
      </c>
      <c r="V53" s="46">
        <f t="shared" si="22"/>
        <v>0</v>
      </c>
      <c r="W53" s="65">
        <f>IF(IF(OR(ISBLANK('IceBank Account'!B16),ISBLANK('IceBank Account'!C16)),"",
IF('IceBank Account'!B16="F",'IceBank Account'!C16,
IF('IceBank Account'!B16="P",'IceBank Account'!C16-((IF(OR('IceBank Account'!G16=0,ISBLANK('IceBank Account'!G16)),0,'IceBank Account'!$P$4*'IceBank Account'!G16))+(IF(OR('IceBank Account'!H16=0,ISBLANK('IceBank Account'!H16)),0,'IceBank Account'!$U$4*'IceBank Account'!H16))),
                   IF('IceBank Account'!B16="I",IF('IceBank Account'!C16-(((IF(OR('IceBank Account'!G16=0,ISBLANK('IceBank Account'!G16)),0,'IceBank Account'!$P$4))*'IceBank Account'!G16)+((IF(OR('IceBank Account'!H16=0,ISBLANK('IceBank Account'!H16)),0,'IceBank Account'!$U$4))*'IceBank Account'!H16))&lt;0,0,
'IceBank Account'!C16-(((IF(OR('IceBank Account'!G16=0,ISBLANK('IceBank Account'!G16)),0,'IceBank Account'!$P$4*'IceBank Account'!G16))+(IF(OR('IceBank Account'!H16=0,ISBLANK('IceBank Account'!H16)),0,'IceBank Account'!$U$4*'IceBank Account'!H16))))),""))))&lt;0,0,
IF(OR(ISBLANK('IceBank Account'!B16),ISBLANK('IceBank Account'!C16)),"",IF('IceBank Account'!B16="F",'IceBank Account'!C16,IF('IceBank Account'!B16="P",'IceBank Account'!C16-((IF(OR('IceBank Account'!G16=0,ISBLANK('IceBank Account'!G16)),0,'IceBank Account'!$P$4*'IceBank Account'!G16))+(IF(OR('IceBank Account'!H16=0,ISBLANK('IceBank Account'!H16)),0,'IceBank Account'!$U$4*'IceBank Account'!H16))),IF('IceBank Account'!B16="I",IF('IceBank Account'!C16-(((IF(OR('IceBank Account'!G16=0,ISBLANK('IceBank Account'!G16)),0,'IceBank Account'!$P$4))*'IceBank Account'!G16)+((IF(OR('IceBank Account'!H16=0,ISBLANK('IceBank Account'!H16)),0,'IceBank Account'!$U$4))*'IceBank Account'!H16))&lt;0,0,'IceBank Account'!C16-(((IF(OR('IceBank Account'!G16=0,ISBLANK('IceBank Account'!G16)),0,'IceBank Account'!$P$4*'IceBank Account'!G16))+(IF(OR('IceBank Account'!H16=0,ISBLANK('IceBank Account'!H16)),0,'IceBank Account'!$U$4*'IceBank Account'!H16))))),"")))))</f>
        <v>187.5</v>
      </c>
      <c r="X53" s="65">
        <f t="shared" si="23"/>
        <v>39.564220183486242</v>
      </c>
      <c r="Z53" s="2">
        <f t="shared" si="24"/>
        <v>0</v>
      </c>
      <c r="AD53" s="46"/>
      <c r="AE53" s="46"/>
    </row>
    <row r="54" spans="5:31">
      <c r="E54" s="46">
        <f t="shared" si="17"/>
        <v>225</v>
      </c>
      <c r="F54" s="71" t="str">
        <f>'IceBank Account'!B17</f>
        <v>P</v>
      </c>
      <c r="G54" s="47">
        <v>10</v>
      </c>
      <c r="H54" s="61">
        <f>IF('IceBank Account'!B17="P",
                  IF('IceBank Account'!C17-(('IceBank Account'!$F$4*'IceBank Account'!E17)+(IF('IceBank Account'!$K$4="",0,('IceBank Account'!$K$4*'IceBank Account'!F17)))+('IceBank Account'!$P$4*'IceBank Account'!G17)+('IceBank Account'!$U$4*'IceBank Account'!H17))&lt;0,
                                 0,
                       'IceBank Account'!C17-(('IceBank Account'!$F$4*'IceBank Account'!E17)+(IF('IceBank Account'!$K$4="",0,('IceBank Account'!$K$4*'IceBank Account'!F17)))+('IceBank Account'!$P$4*'IceBank Account'!G17)+('IceBank Account'!$U$4*'IceBank Account'!H17))),
0)</f>
        <v>77.064220183486242</v>
      </c>
      <c r="I54" s="61">
        <f>IF('IceBank Account'!B17="F",'IceBank Account'!D17,0)</f>
        <v>0</v>
      </c>
      <c r="J54" s="61">
        <f>IF('IceBank Account'!B17="I",
                       IF((IF('IceBank Account'!$F$4="",0,'IceBank Account'!$F$4*'IceBank Account'!E17))+(IF('IceBank Account'!$K$4="",0,'IceBank Account'!$K$4*'IceBank Account'!F17))-('IceBank Account'!J17+'IceBank Account'!K17)&lt;0,
                                      0,
                             (IF('IceBank Account'!$F$4="",0,'IceBank Account'!$F$4*'IceBank Account'!E17))+((IF('IceBank Account'!$K$4="",0,'IceBank Account'!$K$4*'IceBank Account'!F17)))-('IceBank Account'!J17+'IceBank Account'!K17)),
0)</f>
        <v>0</v>
      </c>
      <c r="K54" s="61">
        <f>IF(AND(OR('IceBank Account'!$F$6=0,ISBLANK('IceBank Account'!$F$6)),'Chiller Calcs'!F54="P"),
     0,
IF(AND(OR('IceBank Account'!$F$5=0,ISBLANK('IceBank Account'!$F$5)),'Chiller Calcs'!F54="I"),
                  0,
              IF('IceBank Account'!$F$4="",0,IF(((IF(OR('IceBank Account'!B17="I",'IceBank Account'!B17="P"),
                              'Chiller Calcs'!W54,
              IF('IceBank Account'!B17="F",0,"")))-'Chiller Calcs'!H54)&gt;('IceBank Account'!$F$4*'IceBank Account'!E17),
                                   ('IceBank Account'!$F$4*'IceBank Account'!E17),
                       (IF(OR('IceBank Account'!B17="I",'IceBank Account'!B17="P"),
                                   'Chiller Calcs'!W54,
                        IF('IceBank Account'!B17="F",0,"")))-'Chiller Calcs'!H54))))</f>
        <v>147.93577981651376</v>
      </c>
      <c r="L54" s="61">
        <f>IF(AND(OR('IceBank Account'!$K$6=0,ISBLANK('IceBank Account'!$K$6)),'Chiller Calcs'!F54="P"),0,IF(AND(OR('IceBank Account'!$K$5=0,ISBLANK('IceBank Account'!$K$5)),'Chiller Calcs'!F54="I"),0,IF('IceBank Account'!$K$4="",0,IF(((IF(OR('IceBank Account'!B17="I",'IceBank Account'!B17="P"),'Chiller Calcs'!W54,IF('IceBank Account'!B17="F",0,"")))-'Chiller Calcs'!H54)&gt;('IceBank Account'!$K$4*'IceBank Account'!F17),('IceBank Account'!$K$4*'IceBank Account'!F17),(IF(OR('IceBank Account'!B17="I",'IceBank Account'!B17="P"),'Chiller Calcs'!W54,IF('IceBank Account'!B17="F",0,"")))-'Chiller Calcs'!H54))))</f>
        <v>0</v>
      </c>
      <c r="M54" s="61">
        <f t="shared" si="18"/>
        <v>147.93577981651376</v>
      </c>
      <c r="N54" s="61">
        <f t="shared" si="19"/>
        <v>147.93577981651376</v>
      </c>
      <c r="O54" s="61">
        <f t="shared" si="20"/>
        <v>0</v>
      </c>
      <c r="P54" s="61"/>
      <c r="Q54" s="62">
        <f>IF(OR(AND(OR('IceBank Account'!G17=0,ISBLANK('IceBank Account'!G17)),'IceBank Account'!B17="P"),AND(OR('IceBank Account'!G17=0,ISBLANK('IceBank Account'!G17)),'IceBank Account'!B17="I"),(OR('IceBank Account'!$P$4=0,ISBLANK('IceBank Account'!$P$4))),'IceBank Account'!C17=0),0,
IF('IceBank Account'!B17="F",0,
IF('IceBank Account'!C17-'IceBank Account'!$U$4*'IceBank Account'!H17&gt;'IceBank Account'!$P$4*'IceBank Account'!G17,'IceBank Account'!$P$4*'IceBank Account'!G17,'IceBank Account'!C17-('IceBank Account'!$U$4*'IceBank Account'!H17))))</f>
        <v>0</v>
      </c>
      <c r="R54" s="62">
        <f>IF(OR(AND(OR('IceBank Account'!H17=0,ISBLANK('IceBank Account'!H17)),'IceBank Account'!B17="P"),AND(OR('IceBank Account'!H17=0,ISBLANK('IceBank Account'!H17)),'IceBank Account'!B17="I"),(OR('IceBank Account'!$U$4=0,ISBLANK('IceBank Account'!$U$4))),'IceBank Account'!C17=0),0,
IF('IceBank Account'!B17="F",0,
IF('Chiller Calcs'!Q54&gt;'IceBank Account'!C17,0,IF('IceBank Account'!C17-'Chiller Calcs'!Q54&gt;'IceBank Account'!$U$4*'IceBank Account'!H17,'IceBank Account'!$U$4*'IceBank Account'!H17,'IceBank Account'!C17-'Chiller Calcs'!Q54))))</f>
        <v>0</v>
      </c>
      <c r="S54" s="46">
        <f t="shared" si="21"/>
        <v>0</v>
      </c>
      <c r="T54" s="47">
        <f>IF(F54="F",0,
      IF('IceBank Account'!$U$4&gt;S54,'IceBank Account'!$U$4,S54-'IceBank Account'!$U$4))</f>
        <v>0</v>
      </c>
      <c r="U54" s="46">
        <f t="shared" si="25"/>
        <v>0</v>
      </c>
      <c r="V54" s="46">
        <f t="shared" si="22"/>
        <v>0</v>
      </c>
      <c r="W54" s="65">
        <f>IF(IF(OR(ISBLANK('IceBank Account'!B17),ISBLANK('IceBank Account'!C17)),"",
IF('IceBank Account'!B17="F",'IceBank Account'!C17,
IF('IceBank Account'!B17="P",'IceBank Account'!C17-((IF(OR('IceBank Account'!G17=0,ISBLANK('IceBank Account'!G17)),0,'IceBank Account'!$P$4*'IceBank Account'!G17))+(IF(OR('IceBank Account'!H17=0,ISBLANK('IceBank Account'!H17)),0,'IceBank Account'!$U$4*'IceBank Account'!H17))),
                   IF('IceBank Account'!B17="I",IF('IceBank Account'!C17-(((IF(OR('IceBank Account'!G17=0,ISBLANK('IceBank Account'!G17)),0,'IceBank Account'!$P$4))*'IceBank Account'!G17)+((IF(OR('IceBank Account'!H17=0,ISBLANK('IceBank Account'!H17)),0,'IceBank Account'!$U$4))*'IceBank Account'!H17))&lt;0,0,
'IceBank Account'!C17-(((IF(OR('IceBank Account'!G17=0,ISBLANK('IceBank Account'!G17)),0,'IceBank Account'!$P$4*'IceBank Account'!G17))+(IF(OR('IceBank Account'!H17=0,ISBLANK('IceBank Account'!H17)),0,'IceBank Account'!$U$4*'IceBank Account'!H17))))),""))))&lt;0,0,
IF(OR(ISBLANK('IceBank Account'!B17),ISBLANK('IceBank Account'!C17)),"",IF('IceBank Account'!B17="F",'IceBank Account'!C17,IF('IceBank Account'!B17="P",'IceBank Account'!C17-((IF(OR('IceBank Account'!G17=0,ISBLANK('IceBank Account'!G17)),0,'IceBank Account'!$P$4*'IceBank Account'!G17))+(IF(OR('IceBank Account'!H17=0,ISBLANK('IceBank Account'!H17)),0,'IceBank Account'!$U$4*'IceBank Account'!H17))),IF('IceBank Account'!B17="I",IF('IceBank Account'!C17-(((IF(OR('IceBank Account'!G17=0,ISBLANK('IceBank Account'!G17)),0,'IceBank Account'!$P$4))*'IceBank Account'!G17)+((IF(OR('IceBank Account'!H17=0,ISBLANK('IceBank Account'!H17)),0,'IceBank Account'!$U$4))*'IceBank Account'!H17))&lt;0,0,'IceBank Account'!C17-(((IF(OR('IceBank Account'!G17=0,ISBLANK('IceBank Account'!G17)),0,'IceBank Account'!$P$4*'IceBank Account'!G17))+(IF(OR('IceBank Account'!H17=0,ISBLANK('IceBank Account'!H17)),0,'IceBank Account'!$U$4*'IceBank Account'!H17))))),"")))))</f>
        <v>225</v>
      </c>
      <c r="X54" s="65">
        <f t="shared" si="23"/>
        <v>77.064220183486242</v>
      </c>
      <c r="Z54" s="2">
        <f t="shared" si="24"/>
        <v>0</v>
      </c>
      <c r="AD54" s="46"/>
      <c r="AE54" s="46"/>
    </row>
    <row r="55" spans="5:31">
      <c r="E55" s="46">
        <f t="shared" si="17"/>
        <v>250</v>
      </c>
      <c r="F55" s="71" t="str">
        <f>'IceBank Account'!B18</f>
        <v>P</v>
      </c>
      <c r="G55" s="47">
        <v>11</v>
      </c>
      <c r="H55" s="61">
        <f>IF('IceBank Account'!B18="P",
                  IF('IceBank Account'!C18-(('IceBank Account'!$F$4*'IceBank Account'!E18)+(IF('IceBank Account'!$K$4="",0,('IceBank Account'!$K$4*'IceBank Account'!F18)))+('IceBank Account'!$P$4*'IceBank Account'!G18)+('IceBank Account'!$U$4*'IceBank Account'!H18))&lt;0,
                                 0,
                       'IceBank Account'!C18-(('IceBank Account'!$F$4*'IceBank Account'!E18)+(IF('IceBank Account'!$K$4="",0,('IceBank Account'!$K$4*'IceBank Account'!F18)))+('IceBank Account'!$P$4*'IceBank Account'!G18)+('IceBank Account'!$U$4*'IceBank Account'!H18))),
0)</f>
        <v>102.06422018348624</v>
      </c>
      <c r="I55" s="61">
        <f>IF('IceBank Account'!B18="F",'IceBank Account'!D18,0)</f>
        <v>0</v>
      </c>
      <c r="J55" s="61">
        <f>IF('IceBank Account'!B18="I",
                       IF((IF('IceBank Account'!$F$4="",0,'IceBank Account'!$F$4*'IceBank Account'!E18))+(IF('IceBank Account'!$K$4="",0,'IceBank Account'!$K$4*'IceBank Account'!F18))-('IceBank Account'!J18+'IceBank Account'!K18)&lt;0,
                                      0,
                             (IF('IceBank Account'!$F$4="",0,'IceBank Account'!$F$4*'IceBank Account'!E18))+((IF('IceBank Account'!$K$4="",0,'IceBank Account'!$K$4*'IceBank Account'!F18)))-('IceBank Account'!J18+'IceBank Account'!K18)),
0)</f>
        <v>0</v>
      </c>
      <c r="K55" s="61">
        <f>IF(AND(OR('IceBank Account'!$F$6=0,ISBLANK('IceBank Account'!$F$6)),'Chiller Calcs'!F55="P"),
     0,
IF(AND(OR('IceBank Account'!$F$5=0,ISBLANK('IceBank Account'!$F$5)),'Chiller Calcs'!F55="I"),
                  0,
              IF('IceBank Account'!$F$4="",0,IF(((IF(OR('IceBank Account'!B18="I",'IceBank Account'!B18="P"),
                              'Chiller Calcs'!W55,
              IF('IceBank Account'!B18="F",0,"")))-'Chiller Calcs'!H55)&gt;('IceBank Account'!$F$4*'IceBank Account'!E18),
                                   ('IceBank Account'!$F$4*'IceBank Account'!E18),
                       (IF(OR('IceBank Account'!B18="I",'IceBank Account'!B18="P"),
                                   'Chiller Calcs'!W55,
                        IF('IceBank Account'!B18="F",0,"")))-'Chiller Calcs'!H55))))</f>
        <v>147.93577981651376</v>
      </c>
      <c r="L55" s="61">
        <f>IF(AND(OR('IceBank Account'!$K$6=0,ISBLANK('IceBank Account'!$K$6)),'Chiller Calcs'!F55="P"),0,IF(AND(OR('IceBank Account'!$K$5=0,ISBLANK('IceBank Account'!$K$5)),'Chiller Calcs'!F55="I"),0,IF('IceBank Account'!$K$4="",0,IF(((IF(OR('IceBank Account'!B18="I",'IceBank Account'!B18="P"),'Chiller Calcs'!W55,IF('IceBank Account'!B18="F",0,"")))-'Chiller Calcs'!H55)&gt;('IceBank Account'!$K$4*'IceBank Account'!F18),('IceBank Account'!$K$4*'IceBank Account'!F18),(IF(OR('IceBank Account'!B18="I",'IceBank Account'!B18="P"),'Chiller Calcs'!W55,IF('IceBank Account'!B18="F",0,"")))-'Chiller Calcs'!H55))))</f>
        <v>0</v>
      </c>
      <c r="M55" s="61">
        <f t="shared" si="18"/>
        <v>147.93577981651376</v>
      </c>
      <c r="N55" s="61">
        <f t="shared" si="19"/>
        <v>147.93577981651376</v>
      </c>
      <c r="O55" s="61">
        <f t="shared" si="20"/>
        <v>0</v>
      </c>
      <c r="P55" s="61"/>
      <c r="Q55" s="62">
        <f>IF(OR(AND(OR('IceBank Account'!G18=0,ISBLANK('IceBank Account'!G18)),'IceBank Account'!B18="P"),AND(OR('IceBank Account'!G18=0,ISBLANK('IceBank Account'!G18)),'IceBank Account'!B18="I"),(OR('IceBank Account'!$P$4=0,ISBLANK('IceBank Account'!$P$4))),'IceBank Account'!C18=0),0,
IF('IceBank Account'!B18="F",0,
IF('IceBank Account'!C18-'IceBank Account'!$U$4*'IceBank Account'!H18&gt;'IceBank Account'!$P$4*'IceBank Account'!G18,'IceBank Account'!$P$4*'IceBank Account'!G18,'IceBank Account'!C18-('IceBank Account'!$U$4*'IceBank Account'!H18))))</f>
        <v>0</v>
      </c>
      <c r="R55" s="62">
        <f>IF(OR(AND(OR('IceBank Account'!H18=0,ISBLANK('IceBank Account'!H18)),'IceBank Account'!B18="P"),AND(OR('IceBank Account'!H18=0,ISBLANK('IceBank Account'!H18)),'IceBank Account'!B18="I"),(OR('IceBank Account'!$U$4=0,ISBLANK('IceBank Account'!$U$4))),'IceBank Account'!C18=0),0,
IF('IceBank Account'!B18="F",0,
IF('Chiller Calcs'!Q55&gt;'IceBank Account'!C18,0,IF('IceBank Account'!C18-'Chiller Calcs'!Q55&gt;'IceBank Account'!$U$4*'IceBank Account'!H18,'IceBank Account'!$U$4*'IceBank Account'!H18,'IceBank Account'!C18-'Chiller Calcs'!Q55))))</f>
        <v>0</v>
      </c>
      <c r="S55" s="46">
        <f t="shared" si="21"/>
        <v>0</v>
      </c>
      <c r="T55" s="47">
        <f>IF(F55="F",0,
      IF('IceBank Account'!$U$4&gt;S55,'IceBank Account'!$U$4,S55-'IceBank Account'!$U$4))</f>
        <v>0</v>
      </c>
      <c r="U55" s="46">
        <f t="shared" si="25"/>
        <v>0</v>
      </c>
      <c r="V55" s="46">
        <f>S55-T55</f>
        <v>0</v>
      </c>
      <c r="W55" s="65">
        <f>IF(IF(OR(ISBLANK('IceBank Account'!B18),ISBLANK('IceBank Account'!C18)),"",
IF('IceBank Account'!B18="F",'IceBank Account'!C18,
IF('IceBank Account'!B18="P",'IceBank Account'!C18-((IF(OR('IceBank Account'!G18=0,ISBLANK('IceBank Account'!G18)),0,'IceBank Account'!$P$4*'IceBank Account'!G18))+(IF(OR('IceBank Account'!H18=0,ISBLANK('IceBank Account'!H18)),0,'IceBank Account'!$U$4*'IceBank Account'!H18))),
                   IF('IceBank Account'!B18="I",IF('IceBank Account'!C18-(((IF(OR('IceBank Account'!G18=0,ISBLANK('IceBank Account'!G18)),0,'IceBank Account'!$P$4))*'IceBank Account'!G18)+((IF(OR('IceBank Account'!H18=0,ISBLANK('IceBank Account'!H18)),0,'IceBank Account'!$U$4))*'IceBank Account'!H18))&lt;0,0,
'IceBank Account'!C18-(((IF(OR('IceBank Account'!G18=0,ISBLANK('IceBank Account'!G18)),0,'IceBank Account'!$P$4*'IceBank Account'!G18))+(IF(OR('IceBank Account'!H18=0,ISBLANK('IceBank Account'!H18)),0,'IceBank Account'!$U$4*'IceBank Account'!H18))))),""))))&lt;0,0,
IF(OR(ISBLANK('IceBank Account'!B18),ISBLANK('IceBank Account'!C18)),"",IF('IceBank Account'!B18="F",'IceBank Account'!C18,IF('IceBank Account'!B18="P",'IceBank Account'!C18-((IF(OR('IceBank Account'!G18=0,ISBLANK('IceBank Account'!G18)),0,'IceBank Account'!$P$4*'IceBank Account'!G18))+(IF(OR('IceBank Account'!H18=0,ISBLANK('IceBank Account'!H18)),0,'IceBank Account'!$U$4*'IceBank Account'!H18))),IF('IceBank Account'!B18="I",IF('IceBank Account'!C18-(((IF(OR('IceBank Account'!G18=0,ISBLANK('IceBank Account'!G18)),0,'IceBank Account'!$P$4))*'IceBank Account'!G18)+((IF(OR('IceBank Account'!H18=0,ISBLANK('IceBank Account'!H18)),0,'IceBank Account'!$U$4))*'IceBank Account'!H18))&lt;0,0,'IceBank Account'!C18-(((IF(OR('IceBank Account'!G18=0,ISBLANK('IceBank Account'!G18)),0,'IceBank Account'!$P$4*'IceBank Account'!G18))+(IF(OR('IceBank Account'!H18=0,ISBLANK('IceBank Account'!H18)),0,'IceBank Account'!$U$4*'IceBank Account'!H18))))),"")))))</f>
        <v>250</v>
      </c>
      <c r="X55" s="65">
        <f>IF(F55="I",0,E55-(N55+O55+Q55+R55))</f>
        <v>102.06422018348624</v>
      </c>
      <c r="Z55" s="2">
        <f t="shared" si="24"/>
        <v>0</v>
      </c>
      <c r="AD55" s="46"/>
      <c r="AE55" s="46"/>
    </row>
    <row r="56" spans="5:31">
      <c r="E56" s="46">
        <f t="shared" si="17"/>
        <v>250</v>
      </c>
      <c r="F56" s="71" t="str">
        <f>'IceBank Account'!B19</f>
        <v>P</v>
      </c>
      <c r="G56" s="47">
        <v>12</v>
      </c>
      <c r="H56" s="61">
        <f>IF('IceBank Account'!B19="P",
                  IF('IceBank Account'!C19-(('IceBank Account'!$F$4*'IceBank Account'!E19)+(IF('IceBank Account'!$K$4="",0,('IceBank Account'!$K$4*'IceBank Account'!F19)))+('IceBank Account'!$P$4*'IceBank Account'!G19)+('IceBank Account'!$U$4*'IceBank Account'!H19))&lt;0,
                                 0,
                       'IceBank Account'!C19-(('IceBank Account'!$F$4*'IceBank Account'!E19)+(IF('IceBank Account'!$K$4="",0,('IceBank Account'!$K$4*'IceBank Account'!F19)))+('IceBank Account'!$P$4*'IceBank Account'!G19)+('IceBank Account'!$U$4*'IceBank Account'!H19))),
0)</f>
        <v>102.06422018348624</v>
      </c>
      <c r="I56" s="61">
        <f>IF('IceBank Account'!B19="F",'IceBank Account'!D19,0)</f>
        <v>0</v>
      </c>
      <c r="J56" s="61">
        <f>IF('IceBank Account'!B19="I",
                       IF((IF('IceBank Account'!$F$4="",0,'IceBank Account'!$F$4*'IceBank Account'!E19))+(IF('IceBank Account'!$K$4="",0,'IceBank Account'!$K$4*'IceBank Account'!F19))-('IceBank Account'!J19+'IceBank Account'!K19)&lt;0,
                                      0,
                             (IF('IceBank Account'!$F$4="",0,'IceBank Account'!$F$4*'IceBank Account'!E19))+((IF('IceBank Account'!$K$4="",0,'IceBank Account'!$K$4*'IceBank Account'!F19)))-('IceBank Account'!J19+'IceBank Account'!K19)),
0)</f>
        <v>0</v>
      </c>
      <c r="K56" s="61">
        <f>IF(AND(OR('IceBank Account'!$F$6=0,ISBLANK('IceBank Account'!$F$6)),'Chiller Calcs'!F56="P"),
     0,
IF(AND(OR('IceBank Account'!$F$5=0,ISBLANK('IceBank Account'!$F$5)),'Chiller Calcs'!F56="I"),
                  0,
              IF('IceBank Account'!$F$4="",0,IF(((IF(OR('IceBank Account'!B19="I",'IceBank Account'!B19="P"),
                              'Chiller Calcs'!W56,
              IF('IceBank Account'!B19="F",0,"")))-'Chiller Calcs'!H56)&gt;('IceBank Account'!$F$4*'IceBank Account'!E19),
                                   ('IceBank Account'!$F$4*'IceBank Account'!E19),
                       (IF(OR('IceBank Account'!B19="I",'IceBank Account'!B19="P"),
                                   'Chiller Calcs'!W56,
                        IF('IceBank Account'!B19="F",0,"")))-'Chiller Calcs'!H56))))</f>
        <v>147.93577981651376</v>
      </c>
      <c r="L56" s="61">
        <f>IF(AND(OR('IceBank Account'!$K$6=0,ISBLANK('IceBank Account'!$K$6)),'Chiller Calcs'!F56="P"),0,IF(AND(OR('IceBank Account'!$K$5=0,ISBLANK('IceBank Account'!$K$5)),'Chiller Calcs'!F56="I"),0,IF('IceBank Account'!$K$4="",0,IF(((IF(OR('IceBank Account'!B19="I",'IceBank Account'!B19="P"),'Chiller Calcs'!W56,IF('IceBank Account'!B19="F",0,"")))-'Chiller Calcs'!H56)&gt;('IceBank Account'!$K$4*'IceBank Account'!F19),('IceBank Account'!$K$4*'IceBank Account'!F19),(IF(OR('IceBank Account'!B19="I",'IceBank Account'!B19="P"),'Chiller Calcs'!W56,IF('IceBank Account'!B19="F",0,"")))-'Chiller Calcs'!H56))))</f>
        <v>0</v>
      </c>
      <c r="M56" s="61">
        <f t="shared" si="18"/>
        <v>147.93577981651376</v>
      </c>
      <c r="N56" s="61">
        <f t="shared" si="19"/>
        <v>147.93577981651376</v>
      </c>
      <c r="O56" s="61">
        <f t="shared" si="20"/>
        <v>0</v>
      </c>
      <c r="P56" s="61"/>
      <c r="Q56" s="62">
        <f>IF(OR(AND(OR('IceBank Account'!G19=0,ISBLANK('IceBank Account'!G19)),'IceBank Account'!B19="P"),AND(OR('IceBank Account'!G19=0,ISBLANK('IceBank Account'!G19)),'IceBank Account'!B19="I"),(OR('IceBank Account'!$P$4=0,ISBLANK('IceBank Account'!$P$4))),'IceBank Account'!C19=0),0,
IF('IceBank Account'!B19="F",0,
IF('IceBank Account'!C19-'IceBank Account'!$U$4*'IceBank Account'!H19&gt;'IceBank Account'!$P$4*'IceBank Account'!G19,'IceBank Account'!$P$4*'IceBank Account'!G19,'IceBank Account'!C19-('IceBank Account'!$U$4*'IceBank Account'!H19))))</f>
        <v>0</v>
      </c>
      <c r="R56" s="62">
        <f>IF(OR(AND(OR('IceBank Account'!H19=0,ISBLANK('IceBank Account'!H19)),'IceBank Account'!B19="P"),AND(OR('IceBank Account'!H19=0,ISBLANK('IceBank Account'!H19)),'IceBank Account'!B19="I"),(OR('IceBank Account'!$U$4=0,ISBLANK('IceBank Account'!$U$4))),'IceBank Account'!C19=0),0,
IF('IceBank Account'!B19="F",0,
IF('Chiller Calcs'!Q56&gt;'IceBank Account'!C19,0,IF('IceBank Account'!C19-'Chiller Calcs'!Q56&gt;'IceBank Account'!$U$4*'IceBank Account'!H19,'IceBank Account'!$U$4*'IceBank Account'!H19,'IceBank Account'!C19-'Chiller Calcs'!Q56))))</f>
        <v>0</v>
      </c>
      <c r="S56" s="46">
        <f t="shared" si="21"/>
        <v>0</v>
      </c>
      <c r="T56" s="47">
        <f>IF(F56="F",0,
      IF('IceBank Account'!$U$4&gt;S56,'IceBank Account'!$U$4,S56-'IceBank Account'!$U$4))</f>
        <v>0</v>
      </c>
      <c r="U56" s="46">
        <f>S56+T56</f>
        <v>0</v>
      </c>
      <c r="V56" s="46">
        <f>S56-T56</f>
        <v>0</v>
      </c>
      <c r="W56" s="65">
        <f>IF(IF(OR(ISBLANK('IceBank Account'!B19),ISBLANK('IceBank Account'!C19)),"",
IF('IceBank Account'!B19="F",'IceBank Account'!C19,
IF('IceBank Account'!B19="P",'IceBank Account'!C19-((IF(OR('IceBank Account'!G19=0,ISBLANK('IceBank Account'!G19)),0,'IceBank Account'!$P$4*'IceBank Account'!G19))+(IF(OR('IceBank Account'!H19=0,ISBLANK('IceBank Account'!H19)),0,'IceBank Account'!$U$4*'IceBank Account'!H19))),
                   IF('IceBank Account'!B19="I",IF('IceBank Account'!C19-(((IF(OR('IceBank Account'!G19=0,ISBLANK('IceBank Account'!G19)),0,'IceBank Account'!$P$4))*'IceBank Account'!G19)+((IF(OR('IceBank Account'!H19=0,ISBLANK('IceBank Account'!H19)),0,'IceBank Account'!$U$4))*'IceBank Account'!H19))&lt;0,0,
'IceBank Account'!C19-(((IF(OR('IceBank Account'!G19=0,ISBLANK('IceBank Account'!G19)),0,'IceBank Account'!$P$4*'IceBank Account'!G19))+(IF(OR('IceBank Account'!H19=0,ISBLANK('IceBank Account'!H19)),0,'IceBank Account'!$U$4*'IceBank Account'!H19))))),""))))&lt;0,0,
IF(OR(ISBLANK('IceBank Account'!B19),ISBLANK('IceBank Account'!C19)),"",IF('IceBank Account'!B19="F",'IceBank Account'!C19,IF('IceBank Account'!B19="P",'IceBank Account'!C19-((IF(OR('IceBank Account'!G19=0,ISBLANK('IceBank Account'!G19)),0,'IceBank Account'!$P$4*'IceBank Account'!G19))+(IF(OR('IceBank Account'!H19=0,ISBLANK('IceBank Account'!H19)),0,'IceBank Account'!$U$4*'IceBank Account'!H19))),IF('IceBank Account'!B19="I",IF('IceBank Account'!C19-(((IF(OR('IceBank Account'!G19=0,ISBLANK('IceBank Account'!G19)),0,'IceBank Account'!$P$4))*'IceBank Account'!G19)+((IF(OR('IceBank Account'!H19=0,ISBLANK('IceBank Account'!H19)),0,'IceBank Account'!$U$4))*'IceBank Account'!H19))&lt;0,0,'IceBank Account'!C19-(((IF(OR('IceBank Account'!G19=0,ISBLANK('IceBank Account'!G19)),0,'IceBank Account'!$P$4*'IceBank Account'!G19))+(IF(OR('IceBank Account'!H19=0,ISBLANK('IceBank Account'!H19)),0,'IceBank Account'!$U$4*'IceBank Account'!H19))))),"")))))</f>
        <v>250</v>
      </c>
      <c r="X56" s="65">
        <f>IF(F56="I",0,E56-(N56+O56+Q56+R56))</f>
        <v>102.06422018348624</v>
      </c>
      <c r="Z56" s="2">
        <f t="shared" si="24"/>
        <v>0</v>
      </c>
      <c r="AD56" s="46"/>
      <c r="AE56" s="46"/>
    </row>
    <row r="57" spans="5:31">
      <c r="E57" s="46">
        <f t="shared" si="17"/>
        <v>250</v>
      </c>
      <c r="F57" s="71" t="str">
        <f>'IceBank Account'!B20</f>
        <v>P</v>
      </c>
      <c r="G57" s="47">
        <v>13</v>
      </c>
      <c r="H57" s="61">
        <f>IF('IceBank Account'!B20="P",
                  IF('IceBank Account'!C20-(('IceBank Account'!$F$4*'IceBank Account'!E20)+(IF('IceBank Account'!$K$4="",0,('IceBank Account'!$K$4*'IceBank Account'!F20)))+('IceBank Account'!$P$4*'IceBank Account'!G20)+('IceBank Account'!$U$4*'IceBank Account'!H20))&lt;0,
                                 0,
                       'IceBank Account'!C20-(('IceBank Account'!$F$4*'IceBank Account'!E20)+(IF('IceBank Account'!$K$4="",0,('IceBank Account'!$K$4*'IceBank Account'!F20)))+('IceBank Account'!$P$4*'IceBank Account'!G20)+('IceBank Account'!$U$4*'IceBank Account'!H20))),
0)</f>
        <v>102.06422018348624</v>
      </c>
      <c r="I57" s="61">
        <f>IF('IceBank Account'!B20="F",'IceBank Account'!D20,0)</f>
        <v>0</v>
      </c>
      <c r="J57" s="61">
        <f>IF('IceBank Account'!B20="I",
                       IF((IF('IceBank Account'!$F$4="",0,'IceBank Account'!$F$4*'IceBank Account'!E20))+(IF('IceBank Account'!$K$4="",0,'IceBank Account'!$K$4*'IceBank Account'!F20))-('IceBank Account'!J20+'IceBank Account'!K20)&lt;0,
                                      0,
                             (IF('IceBank Account'!$F$4="",0,'IceBank Account'!$F$4*'IceBank Account'!E20))+((IF('IceBank Account'!$K$4="",0,'IceBank Account'!$K$4*'IceBank Account'!F20)))-('IceBank Account'!J20+'IceBank Account'!K20)),
0)</f>
        <v>0</v>
      </c>
      <c r="K57" s="61">
        <f>IF(AND(OR('IceBank Account'!$F$6=0,ISBLANK('IceBank Account'!$F$6)),'Chiller Calcs'!F57="P"),
     0,
IF(AND(OR('IceBank Account'!$F$5=0,ISBLANK('IceBank Account'!$F$5)),'Chiller Calcs'!F57="I"),
                  0,
              IF('IceBank Account'!$F$4="",0,IF(((IF(OR('IceBank Account'!B20="I",'IceBank Account'!B20="P"),
                              'Chiller Calcs'!W57,
              IF('IceBank Account'!B20="F",0,"")))-'Chiller Calcs'!H57)&gt;('IceBank Account'!$F$4*'IceBank Account'!E20),
                                   ('IceBank Account'!$F$4*'IceBank Account'!E20),
                       (IF(OR('IceBank Account'!B20="I",'IceBank Account'!B20="P"),
                                   'Chiller Calcs'!W57,
                        IF('IceBank Account'!B20="F",0,"")))-'Chiller Calcs'!H57))))</f>
        <v>147.93577981651376</v>
      </c>
      <c r="L57" s="61">
        <f>IF(AND(OR('IceBank Account'!$K$6=0,ISBLANK('IceBank Account'!$K$6)),'Chiller Calcs'!F57="P"),0,IF(AND(OR('IceBank Account'!$K$5=0,ISBLANK('IceBank Account'!$K$5)),'Chiller Calcs'!F57="I"),0,IF('IceBank Account'!$K$4="",0,IF(((IF(OR('IceBank Account'!B20="I",'IceBank Account'!B20="P"),'Chiller Calcs'!W57,IF('IceBank Account'!B20="F",0,"")))-'Chiller Calcs'!H57)&gt;('IceBank Account'!$K$4*'IceBank Account'!F20),('IceBank Account'!$K$4*'IceBank Account'!F20),(IF(OR('IceBank Account'!B20="I",'IceBank Account'!B20="P"),'Chiller Calcs'!W57,IF('IceBank Account'!B20="F",0,"")))-'Chiller Calcs'!H57))))</f>
        <v>0</v>
      </c>
      <c r="M57" s="61">
        <f t="shared" si="18"/>
        <v>147.93577981651376</v>
      </c>
      <c r="N57" s="61">
        <f t="shared" si="19"/>
        <v>147.93577981651376</v>
      </c>
      <c r="O57" s="61">
        <f t="shared" si="20"/>
        <v>0</v>
      </c>
      <c r="P57" s="61"/>
      <c r="Q57" s="62">
        <f>IF(OR(AND(OR('IceBank Account'!G20=0,ISBLANK('IceBank Account'!G20)),'IceBank Account'!B20="P"),AND(OR('IceBank Account'!G20=0,ISBLANK('IceBank Account'!G20)),'IceBank Account'!B20="I"),(OR('IceBank Account'!$P$4=0,ISBLANK('IceBank Account'!$P$4))),'IceBank Account'!C20=0),0,
IF('IceBank Account'!B20="F",0,
IF('IceBank Account'!C20-'IceBank Account'!$U$4*'IceBank Account'!H20&gt;'IceBank Account'!$P$4*'IceBank Account'!G20,'IceBank Account'!$P$4*'IceBank Account'!G20,'IceBank Account'!C20-('IceBank Account'!$U$4*'IceBank Account'!H20))))</f>
        <v>0</v>
      </c>
      <c r="R57" s="62">
        <f>IF(OR(AND(OR('IceBank Account'!H20=0,ISBLANK('IceBank Account'!H20)),'IceBank Account'!B20="P"),AND(OR('IceBank Account'!H20=0,ISBLANK('IceBank Account'!H20)),'IceBank Account'!B20="I"),(OR('IceBank Account'!$U$4=0,ISBLANK('IceBank Account'!$U$4))),'IceBank Account'!C20=0),0,
IF('IceBank Account'!B20="F",0,
IF('Chiller Calcs'!Q57&gt;'IceBank Account'!C20,0,IF('IceBank Account'!C20-'Chiller Calcs'!Q57&gt;'IceBank Account'!$U$4*'IceBank Account'!H20,'IceBank Account'!$U$4*'IceBank Account'!H20,'IceBank Account'!C20-'Chiller Calcs'!Q57))))</f>
        <v>0</v>
      </c>
      <c r="S57" s="46">
        <f t="shared" si="21"/>
        <v>0</v>
      </c>
      <c r="T57" s="47">
        <f>IF(F57="F",0,
      IF('IceBank Account'!$U$4&gt;S57,'IceBank Account'!$U$4,S57-'IceBank Account'!$U$4))</f>
        <v>0</v>
      </c>
      <c r="U57" s="46">
        <f t="shared" si="25"/>
        <v>0</v>
      </c>
      <c r="V57" s="46">
        <f t="shared" si="22"/>
        <v>0</v>
      </c>
      <c r="W57" s="65">
        <f>IF(IF(OR(ISBLANK('IceBank Account'!B20),ISBLANK('IceBank Account'!C20)),"",
IF('IceBank Account'!B20="F",'IceBank Account'!C20,
IF('IceBank Account'!B20="P",'IceBank Account'!C20-((IF(OR('IceBank Account'!G20=0,ISBLANK('IceBank Account'!G20)),0,'IceBank Account'!$P$4*'IceBank Account'!G20))+(IF(OR('IceBank Account'!H20=0,ISBLANK('IceBank Account'!H20)),0,'IceBank Account'!$U$4*'IceBank Account'!H20))),
                   IF('IceBank Account'!B20="I",IF('IceBank Account'!C20-(((IF(OR('IceBank Account'!G20=0,ISBLANK('IceBank Account'!G20)),0,'IceBank Account'!$P$4))*'IceBank Account'!G20)+((IF(OR('IceBank Account'!H20=0,ISBLANK('IceBank Account'!H20)),0,'IceBank Account'!$U$4))*'IceBank Account'!H20))&lt;0,0,
'IceBank Account'!C20-(((IF(OR('IceBank Account'!G20=0,ISBLANK('IceBank Account'!G20)),0,'IceBank Account'!$P$4*'IceBank Account'!G20))+(IF(OR('IceBank Account'!H20=0,ISBLANK('IceBank Account'!H20)),0,'IceBank Account'!$U$4*'IceBank Account'!H20))))),""))))&lt;0,0,
IF(OR(ISBLANK('IceBank Account'!B20),ISBLANK('IceBank Account'!C20)),"",IF('IceBank Account'!B20="F",'IceBank Account'!C20,IF('IceBank Account'!B20="P",'IceBank Account'!C20-((IF(OR('IceBank Account'!G20=0,ISBLANK('IceBank Account'!G20)),0,'IceBank Account'!$P$4*'IceBank Account'!G20))+(IF(OR('IceBank Account'!H20=0,ISBLANK('IceBank Account'!H20)),0,'IceBank Account'!$U$4*'IceBank Account'!H20))),IF('IceBank Account'!B20="I",IF('IceBank Account'!C20-(((IF(OR('IceBank Account'!G20=0,ISBLANK('IceBank Account'!G20)),0,'IceBank Account'!$P$4))*'IceBank Account'!G20)+((IF(OR('IceBank Account'!H20=0,ISBLANK('IceBank Account'!H20)),0,'IceBank Account'!$U$4))*'IceBank Account'!H20))&lt;0,0,'IceBank Account'!C20-(((IF(OR('IceBank Account'!G20=0,ISBLANK('IceBank Account'!G20)),0,'IceBank Account'!$P$4*'IceBank Account'!G20))+(IF(OR('IceBank Account'!H20=0,ISBLANK('IceBank Account'!H20)),0,'IceBank Account'!$U$4*'IceBank Account'!H20))))),"")))))</f>
        <v>250</v>
      </c>
      <c r="X57" s="65">
        <f t="shared" si="23"/>
        <v>102.06422018348624</v>
      </c>
      <c r="Z57" s="2">
        <f t="shared" si="24"/>
        <v>0</v>
      </c>
      <c r="AD57" s="46"/>
      <c r="AE57" s="46"/>
    </row>
    <row r="58" spans="5:31">
      <c r="E58" s="46">
        <f t="shared" si="17"/>
        <v>250</v>
      </c>
      <c r="F58" s="71" t="str">
        <f>'IceBank Account'!B21</f>
        <v>P</v>
      </c>
      <c r="G58" s="47">
        <v>14</v>
      </c>
      <c r="H58" s="61">
        <f>IF('IceBank Account'!B21="P",
                  IF('IceBank Account'!C21-(('IceBank Account'!$F$4*'IceBank Account'!E21)+(IF('IceBank Account'!$K$4="",0,('IceBank Account'!$K$4*'IceBank Account'!F21)))+('IceBank Account'!$P$4*'IceBank Account'!G21)+('IceBank Account'!$U$4*'IceBank Account'!H21))&lt;0,
                                 0,
                       'IceBank Account'!C21-(('IceBank Account'!$F$4*'IceBank Account'!E21)+(IF('IceBank Account'!$K$4="",0,('IceBank Account'!$K$4*'IceBank Account'!F21)))+('IceBank Account'!$P$4*'IceBank Account'!G21)+('IceBank Account'!$U$4*'IceBank Account'!H21))),
0)</f>
        <v>102.06422018348624</v>
      </c>
      <c r="I58" s="61">
        <f>IF('IceBank Account'!B21="F",'IceBank Account'!D21,0)</f>
        <v>0</v>
      </c>
      <c r="J58" s="61">
        <f>IF('IceBank Account'!B21="I",
                       IF((IF('IceBank Account'!$F$4="",0,'IceBank Account'!$F$4*'IceBank Account'!E21))+(IF('IceBank Account'!$K$4="",0,'IceBank Account'!$K$4*'IceBank Account'!F21))-('IceBank Account'!J21+'IceBank Account'!K21)&lt;0,
                                      0,
                             (IF('IceBank Account'!$F$4="",0,'IceBank Account'!$F$4*'IceBank Account'!E21))+((IF('IceBank Account'!$K$4="",0,'IceBank Account'!$K$4*'IceBank Account'!F21)))-('IceBank Account'!J21+'IceBank Account'!K21)),
0)</f>
        <v>0</v>
      </c>
      <c r="K58" s="61">
        <f>IF(AND(OR('IceBank Account'!$F$6=0,ISBLANK('IceBank Account'!$F$6)),'Chiller Calcs'!F58="P"),
     0,
IF(AND(OR('IceBank Account'!$F$5=0,ISBLANK('IceBank Account'!$F$5)),'Chiller Calcs'!F58="I"),
                  0,
              IF('IceBank Account'!$F$4="",0,IF(((IF(OR('IceBank Account'!B21="I",'IceBank Account'!B21="P"),
                              'Chiller Calcs'!W58,
              IF('IceBank Account'!B21="F",0,"")))-'Chiller Calcs'!H58)&gt;('IceBank Account'!$F$4*'IceBank Account'!E21),
                                   ('IceBank Account'!$F$4*'IceBank Account'!E21),
                       (IF(OR('IceBank Account'!B21="I",'IceBank Account'!B21="P"),
                                   'Chiller Calcs'!W58,
                        IF('IceBank Account'!B21="F",0,"")))-'Chiller Calcs'!H58))))</f>
        <v>147.93577981651376</v>
      </c>
      <c r="L58" s="61">
        <f>IF(AND(OR('IceBank Account'!$K$6=0,ISBLANK('IceBank Account'!$K$6)),'Chiller Calcs'!F58="P"),0,IF(AND(OR('IceBank Account'!$K$5=0,ISBLANK('IceBank Account'!$K$5)),'Chiller Calcs'!F58="I"),0,IF('IceBank Account'!$K$4="",0,IF(((IF(OR('IceBank Account'!B21="I",'IceBank Account'!B21="P"),'Chiller Calcs'!W58,IF('IceBank Account'!B21="F",0,"")))-'Chiller Calcs'!H58)&gt;('IceBank Account'!$K$4*'IceBank Account'!F21),('IceBank Account'!$K$4*'IceBank Account'!F21),(IF(OR('IceBank Account'!B21="I",'IceBank Account'!B21="P"),'Chiller Calcs'!W58,IF('IceBank Account'!B21="F",0,"")))-'Chiller Calcs'!H58))))</f>
        <v>0</v>
      </c>
      <c r="M58" s="61">
        <f t="shared" si="18"/>
        <v>147.93577981651376</v>
      </c>
      <c r="N58" s="61">
        <f t="shared" si="19"/>
        <v>147.93577981651376</v>
      </c>
      <c r="O58" s="61">
        <f t="shared" si="20"/>
        <v>0</v>
      </c>
      <c r="P58" s="61"/>
      <c r="Q58" s="62">
        <f>IF(OR(AND(OR('IceBank Account'!G21=0,ISBLANK('IceBank Account'!G21)),'IceBank Account'!B21="P"),AND(OR('IceBank Account'!G21=0,ISBLANK('IceBank Account'!G21)),'IceBank Account'!B21="I"),(OR('IceBank Account'!$P$4=0,ISBLANK('IceBank Account'!$P$4))),'IceBank Account'!C21=0),0,
IF('IceBank Account'!B21="F",0,
IF('IceBank Account'!C21-'IceBank Account'!$U$4*'IceBank Account'!H21&gt;'IceBank Account'!$P$4*'IceBank Account'!G21,'IceBank Account'!$P$4*'IceBank Account'!G21,'IceBank Account'!C21-('IceBank Account'!$U$4*'IceBank Account'!H21))))</f>
        <v>0</v>
      </c>
      <c r="R58" s="62">
        <f>IF(OR(AND(OR('IceBank Account'!H21=0,ISBLANK('IceBank Account'!H21)),'IceBank Account'!B21="P"),AND(OR('IceBank Account'!H21=0,ISBLANK('IceBank Account'!H21)),'IceBank Account'!B21="I"),(OR('IceBank Account'!$U$4=0,ISBLANK('IceBank Account'!$U$4))),'IceBank Account'!C21=0),0,
IF('IceBank Account'!B21="F",0,
IF('Chiller Calcs'!Q58&gt;'IceBank Account'!C21,0,IF('IceBank Account'!C21-'Chiller Calcs'!Q58&gt;'IceBank Account'!$U$4*'IceBank Account'!H21,'IceBank Account'!$U$4*'IceBank Account'!H21,'IceBank Account'!C21-'Chiller Calcs'!Q58))))</f>
        <v>0</v>
      </c>
      <c r="S58" s="46">
        <f t="shared" si="21"/>
        <v>0</v>
      </c>
      <c r="T58" s="47">
        <f>IF(F58="F",0,
      IF('IceBank Account'!$U$4&gt;S58,'IceBank Account'!$U$4,S58-'IceBank Account'!$U$4))</f>
        <v>0</v>
      </c>
      <c r="U58" s="46">
        <f t="shared" si="25"/>
        <v>0</v>
      </c>
      <c r="V58" s="46">
        <f t="shared" si="22"/>
        <v>0</v>
      </c>
      <c r="W58" s="65">
        <f>IF(IF(OR(ISBLANK('IceBank Account'!B21),ISBLANK('IceBank Account'!C21)),"",
IF('IceBank Account'!B21="F",'IceBank Account'!C21,
IF('IceBank Account'!B21="P",'IceBank Account'!C21-((IF(OR('IceBank Account'!G21=0,ISBLANK('IceBank Account'!G21)),0,'IceBank Account'!$P$4*'IceBank Account'!G21))+(IF(OR('IceBank Account'!H21=0,ISBLANK('IceBank Account'!H21)),0,'IceBank Account'!$U$4*'IceBank Account'!H21))),
                   IF('IceBank Account'!B21="I",IF('IceBank Account'!C21-(((IF(OR('IceBank Account'!G21=0,ISBLANK('IceBank Account'!G21)),0,'IceBank Account'!$P$4))*'IceBank Account'!G21)+((IF(OR('IceBank Account'!H21=0,ISBLANK('IceBank Account'!H21)),0,'IceBank Account'!$U$4))*'IceBank Account'!H21))&lt;0,0,
'IceBank Account'!C21-(((IF(OR('IceBank Account'!G21=0,ISBLANK('IceBank Account'!G21)),0,'IceBank Account'!$P$4*'IceBank Account'!G21))+(IF(OR('IceBank Account'!H21=0,ISBLANK('IceBank Account'!H21)),0,'IceBank Account'!$U$4*'IceBank Account'!H21))))),""))))&lt;0,0,
IF(OR(ISBLANK('IceBank Account'!B21),ISBLANK('IceBank Account'!C21)),"",IF('IceBank Account'!B21="F",'IceBank Account'!C21,IF('IceBank Account'!B21="P",'IceBank Account'!C21-((IF(OR('IceBank Account'!G21=0,ISBLANK('IceBank Account'!G21)),0,'IceBank Account'!$P$4*'IceBank Account'!G21))+(IF(OR('IceBank Account'!H21=0,ISBLANK('IceBank Account'!H21)),0,'IceBank Account'!$U$4*'IceBank Account'!H21))),IF('IceBank Account'!B21="I",IF('IceBank Account'!C21-(((IF(OR('IceBank Account'!G21=0,ISBLANK('IceBank Account'!G21)),0,'IceBank Account'!$P$4))*'IceBank Account'!G21)+((IF(OR('IceBank Account'!H21=0,ISBLANK('IceBank Account'!H21)),0,'IceBank Account'!$U$4))*'IceBank Account'!H21))&lt;0,0,'IceBank Account'!C21-(((IF(OR('IceBank Account'!G21=0,ISBLANK('IceBank Account'!G21)),0,'IceBank Account'!$P$4*'IceBank Account'!G21))+(IF(OR('IceBank Account'!H21=0,ISBLANK('IceBank Account'!H21)),0,'IceBank Account'!$U$4*'IceBank Account'!H21))))),"")))))</f>
        <v>250</v>
      </c>
      <c r="X58" s="65">
        <f t="shared" si="23"/>
        <v>102.06422018348624</v>
      </c>
      <c r="Z58" s="2">
        <f t="shared" si="24"/>
        <v>0</v>
      </c>
      <c r="AD58" s="46"/>
      <c r="AE58" s="46"/>
    </row>
    <row r="59" spans="5:31">
      <c r="E59" s="46">
        <f t="shared" si="17"/>
        <v>200</v>
      </c>
      <c r="F59" s="71" t="str">
        <f>'IceBank Account'!B22</f>
        <v>P</v>
      </c>
      <c r="G59" s="47">
        <v>15</v>
      </c>
      <c r="H59" s="61">
        <f>IF('IceBank Account'!B22="P",
                  IF('IceBank Account'!C22-(('IceBank Account'!$F$4*'IceBank Account'!E22)+(IF('IceBank Account'!$K$4="",0,('IceBank Account'!$K$4*'IceBank Account'!F22)))+('IceBank Account'!$P$4*'IceBank Account'!G22)+('IceBank Account'!$U$4*'IceBank Account'!H22))&lt;0,
                                 0,
                       'IceBank Account'!C22-(('IceBank Account'!$F$4*'IceBank Account'!E22)+(IF('IceBank Account'!$K$4="",0,('IceBank Account'!$K$4*'IceBank Account'!F22)))+('IceBank Account'!$P$4*'IceBank Account'!G22)+('IceBank Account'!$U$4*'IceBank Account'!H22))),
0)</f>
        <v>52.064220183486242</v>
      </c>
      <c r="I59" s="61">
        <f>IF('IceBank Account'!B22="F",'IceBank Account'!D22,0)</f>
        <v>0</v>
      </c>
      <c r="J59" s="61">
        <f>IF('IceBank Account'!B22="I",
                       IF((IF('IceBank Account'!$F$4="",0,'IceBank Account'!$F$4*'IceBank Account'!E22))+(IF('IceBank Account'!$K$4="",0,'IceBank Account'!$K$4*'IceBank Account'!F22))-('IceBank Account'!J22+'IceBank Account'!K22)&lt;0,
                                      0,
                             (IF('IceBank Account'!$F$4="",0,'IceBank Account'!$F$4*'IceBank Account'!E22))+((IF('IceBank Account'!$K$4="",0,'IceBank Account'!$K$4*'IceBank Account'!F22)))-('IceBank Account'!J22+'IceBank Account'!K22)),
0)</f>
        <v>0</v>
      </c>
      <c r="K59" s="61">
        <f>IF(AND(OR('IceBank Account'!$F$6=0,ISBLANK('IceBank Account'!$F$6)),'Chiller Calcs'!F59="P"),
     0,
IF(AND(OR('IceBank Account'!$F$5=0,ISBLANK('IceBank Account'!$F$5)),'Chiller Calcs'!F59="I"),
                  0,
              IF('IceBank Account'!$F$4="",0,IF(((IF(OR('IceBank Account'!B22="I",'IceBank Account'!B22="P"),
                              'Chiller Calcs'!W59,
              IF('IceBank Account'!B22="F",0,"")))-'Chiller Calcs'!H59)&gt;('IceBank Account'!$F$4*'IceBank Account'!E22),
                                   ('IceBank Account'!$F$4*'IceBank Account'!E22),
                       (IF(OR('IceBank Account'!B22="I",'IceBank Account'!B22="P"),
                                   'Chiller Calcs'!W59,
                        IF('IceBank Account'!B22="F",0,"")))-'Chiller Calcs'!H59))))</f>
        <v>147.93577981651376</v>
      </c>
      <c r="L59" s="61">
        <f>IF(AND(OR('IceBank Account'!$K$6=0,ISBLANK('IceBank Account'!$K$6)),'Chiller Calcs'!F59="P"),0,IF(AND(OR('IceBank Account'!$K$5=0,ISBLANK('IceBank Account'!$K$5)),'Chiller Calcs'!F59="I"),0,IF('IceBank Account'!$K$4="",0,IF(((IF(OR('IceBank Account'!B22="I",'IceBank Account'!B22="P"),'Chiller Calcs'!W59,IF('IceBank Account'!B22="F",0,"")))-'Chiller Calcs'!H59)&gt;('IceBank Account'!$K$4*'IceBank Account'!F22),('IceBank Account'!$K$4*'IceBank Account'!F22),(IF(OR('IceBank Account'!B22="I",'IceBank Account'!B22="P"),'Chiller Calcs'!W59,IF('IceBank Account'!B22="F",0,"")))-'Chiller Calcs'!H59))))</f>
        <v>0</v>
      </c>
      <c r="M59" s="61">
        <f t="shared" si="18"/>
        <v>147.93577981651376</v>
      </c>
      <c r="N59" s="61">
        <f t="shared" si="19"/>
        <v>147.93577981651376</v>
      </c>
      <c r="O59" s="61">
        <f t="shared" si="20"/>
        <v>0</v>
      </c>
      <c r="P59" s="61"/>
      <c r="Q59" s="62">
        <f>IF(OR(AND(OR('IceBank Account'!G22=0,ISBLANK('IceBank Account'!G22)),'IceBank Account'!B22="P"),AND(OR('IceBank Account'!G22=0,ISBLANK('IceBank Account'!G22)),'IceBank Account'!B22="I"),(OR('IceBank Account'!$P$4=0,ISBLANK('IceBank Account'!$P$4))),'IceBank Account'!C22=0),0,
IF('IceBank Account'!B22="F",0,
IF('IceBank Account'!C22-'IceBank Account'!$U$4*'IceBank Account'!H22&gt;'IceBank Account'!$P$4*'IceBank Account'!G22,'IceBank Account'!$P$4*'IceBank Account'!G22,'IceBank Account'!C22-('IceBank Account'!$U$4*'IceBank Account'!H22))))</f>
        <v>0</v>
      </c>
      <c r="R59" s="62">
        <f>IF(OR(AND(OR('IceBank Account'!H22=0,ISBLANK('IceBank Account'!H22)),'IceBank Account'!B22="P"),AND(OR('IceBank Account'!H22=0,ISBLANK('IceBank Account'!H22)),'IceBank Account'!B22="I"),(OR('IceBank Account'!$U$4=0,ISBLANK('IceBank Account'!$U$4))),'IceBank Account'!C22=0),0,
IF('IceBank Account'!B22="F",0,
IF('Chiller Calcs'!Q59&gt;'IceBank Account'!C22,0,IF('IceBank Account'!C22-'Chiller Calcs'!Q59&gt;'IceBank Account'!$U$4*'IceBank Account'!H22,'IceBank Account'!$U$4*'IceBank Account'!H22,'IceBank Account'!C22-'Chiller Calcs'!Q59))))</f>
        <v>0</v>
      </c>
      <c r="S59" s="46">
        <f t="shared" si="21"/>
        <v>0</v>
      </c>
      <c r="T59" s="47">
        <f>IF(F59="F",0,
      IF('IceBank Account'!$U$4&gt;S59,'IceBank Account'!$U$4,S59-'IceBank Account'!$U$4))</f>
        <v>0</v>
      </c>
      <c r="U59" s="46">
        <f t="shared" si="25"/>
        <v>0</v>
      </c>
      <c r="V59" s="46">
        <f t="shared" si="22"/>
        <v>0</v>
      </c>
      <c r="W59" s="65">
        <f>IF(IF(OR(ISBLANK('IceBank Account'!B22),ISBLANK('IceBank Account'!C22)),"",
IF('IceBank Account'!B22="F",'IceBank Account'!C22,
IF('IceBank Account'!B22="P",'IceBank Account'!C22-((IF(OR('IceBank Account'!G22=0,ISBLANK('IceBank Account'!G22)),0,'IceBank Account'!$P$4*'IceBank Account'!G22))+(IF(OR('IceBank Account'!H22=0,ISBLANK('IceBank Account'!H22)),0,'IceBank Account'!$U$4*'IceBank Account'!H22))),
                   IF('IceBank Account'!B22="I",IF('IceBank Account'!C22-(((IF(OR('IceBank Account'!G22=0,ISBLANK('IceBank Account'!G22)),0,'IceBank Account'!$P$4))*'IceBank Account'!G22)+((IF(OR('IceBank Account'!H22=0,ISBLANK('IceBank Account'!H22)),0,'IceBank Account'!$U$4))*'IceBank Account'!H22))&lt;0,0,
'IceBank Account'!C22-(((IF(OR('IceBank Account'!G22=0,ISBLANK('IceBank Account'!G22)),0,'IceBank Account'!$P$4*'IceBank Account'!G22))+(IF(OR('IceBank Account'!H22=0,ISBLANK('IceBank Account'!H22)),0,'IceBank Account'!$U$4*'IceBank Account'!H22))))),""))))&lt;0,0,
IF(OR(ISBLANK('IceBank Account'!B22),ISBLANK('IceBank Account'!C22)),"",IF('IceBank Account'!B22="F",'IceBank Account'!C22,IF('IceBank Account'!B22="P",'IceBank Account'!C22-((IF(OR('IceBank Account'!G22=0,ISBLANK('IceBank Account'!G22)),0,'IceBank Account'!$P$4*'IceBank Account'!G22))+(IF(OR('IceBank Account'!H22=0,ISBLANK('IceBank Account'!H22)),0,'IceBank Account'!$U$4*'IceBank Account'!H22))),IF('IceBank Account'!B22="I",IF('IceBank Account'!C22-(((IF(OR('IceBank Account'!G22=0,ISBLANK('IceBank Account'!G22)),0,'IceBank Account'!$P$4))*'IceBank Account'!G22)+((IF(OR('IceBank Account'!H22=0,ISBLANK('IceBank Account'!H22)),0,'IceBank Account'!$U$4))*'IceBank Account'!H22))&lt;0,0,'IceBank Account'!C22-(((IF(OR('IceBank Account'!G22=0,ISBLANK('IceBank Account'!G22)),0,'IceBank Account'!$P$4*'IceBank Account'!G22))+(IF(OR('IceBank Account'!H22=0,ISBLANK('IceBank Account'!H22)),0,'IceBank Account'!$U$4*'IceBank Account'!H22))))),"")))))</f>
        <v>200</v>
      </c>
      <c r="X59" s="65">
        <f>IF(F59="I",0,E59-(N59+O59+Q59+R59))</f>
        <v>52.064220183486242</v>
      </c>
      <c r="Z59" s="2">
        <f t="shared" si="24"/>
        <v>0</v>
      </c>
      <c r="AD59" s="46"/>
      <c r="AE59" s="46"/>
    </row>
    <row r="60" spans="5:31">
      <c r="E60" s="46">
        <f t="shared" si="17"/>
        <v>125</v>
      </c>
      <c r="F60" s="71" t="str">
        <f>'IceBank Account'!B23</f>
        <v>P</v>
      </c>
      <c r="G60" s="47">
        <v>16</v>
      </c>
      <c r="H60" s="61">
        <f>IF('IceBank Account'!B23="P",
                  IF('IceBank Account'!C23-(('IceBank Account'!$F$4*'IceBank Account'!E23)+(IF('IceBank Account'!$K$4="",0,('IceBank Account'!$K$4*'IceBank Account'!F23)))+('IceBank Account'!$P$4*'IceBank Account'!G23)+('IceBank Account'!$U$4*'IceBank Account'!H23))&lt;0,
                                 0,
                       'IceBank Account'!C23-(('IceBank Account'!$F$4*'IceBank Account'!E23)+(IF('IceBank Account'!$K$4="",0,('IceBank Account'!$K$4*'IceBank Account'!F23)))+('IceBank Account'!$P$4*'IceBank Account'!G23)+('IceBank Account'!$U$4*'IceBank Account'!H23))),
0)</f>
        <v>0</v>
      </c>
      <c r="I60" s="61">
        <f>IF('IceBank Account'!B23="F",'IceBank Account'!D23,0)</f>
        <v>0</v>
      </c>
      <c r="J60" s="61">
        <f>IF('IceBank Account'!B23="I",
                       IF((IF('IceBank Account'!$F$4="",0,'IceBank Account'!$F$4*'IceBank Account'!E23))+(IF('IceBank Account'!$K$4="",0,'IceBank Account'!$K$4*'IceBank Account'!F23))-('IceBank Account'!J23+'IceBank Account'!K23)&lt;0,
                                      0,
                             (IF('IceBank Account'!$F$4="",0,'IceBank Account'!$F$4*'IceBank Account'!E23))+((IF('IceBank Account'!$K$4="",0,'IceBank Account'!$K$4*'IceBank Account'!F23)))-('IceBank Account'!J23+'IceBank Account'!K23)),
0)</f>
        <v>0</v>
      </c>
      <c r="K60" s="61">
        <f>IF(AND(OR('IceBank Account'!$F$6=0,ISBLANK('IceBank Account'!$F$6)),'Chiller Calcs'!F60="P"),
     0,
IF(AND(OR('IceBank Account'!$F$5=0,ISBLANK('IceBank Account'!$F$5)),'Chiller Calcs'!F60="I"),
                  0,
              IF('IceBank Account'!$F$4="",0,IF(((IF(OR('IceBank Account'!B23="I",'IceBank Account'!B23="P"),
                              'Chiller Calcs'!W60,
              IF('IceBank Account'!B23="F",0,"")))-'Chiller Calcs'!H60)&gt;('IceBank Account'!$F$4*'IceBank Account'!E23),
                                   ('IceBank Account'!$F$4*'IceBank Account'!E23),
                       (IF(OR('IceBank Account'!B23="I",'IceBank Account'!B23="P"),
                                   'Chiller Calcs'!W60,
                        IF('IceBank Account'!B23="F",0,"")))-'Chiller Calcs'!H60))))</f>
        <v>125</v>
      </c>
      <c r="L60" s="61">
        <f>IF(AND(OR('IceBank Account'!$K$6=0,ISBLANK('IceBank Account'!$K$6)),'Chiller Calcs'!F60="P"),0,IF(AND(OR('IceBank Account'!$K$5=0,ISBLANK('IceBank Account'!$K$5)),'Chiller Calcs'!F60="I"),0,IF('IceBank Account'!$K$4="",0,IF(((IF(OR('IceBank Account'!B23="I",'IceBank Account'!B23="P"),'Chiller Calcs'!W60,IF('IceBank Account'!B23="F",0,"")))-'Chiller Calcs'!H60)&gt;('IceBank Account'!$K$4*'IceBank Account'!F23),('IceBank Account'!$K$4*'IceBank Account'!F23),(IF(OR('IceBank Account'!B23="I",'IceBank Account'!B23="P"),'Chiller Calcs'!W60,IF('IceBank Account'!B23="F",0,"")))-'Chiller Calcs'!H60))))</f>
        <v>0</v>
      </c>
      <c r="M60" s="61">
        <f t="shared" si="18"/>
        <v>125</v>
      </c>
      <c r="N60" s="61">
        <f t="shared" si="19"/>
        <v>125</v>
      </c>
      <c r="O60" s="61">
        <f t="shared" si="20"/>
        <v>0</v>
      </c>
      <c r="P60" s="61"/>
      <c r="Q60" s="62">
        <f>IF(OR(AND(OR('IceBank Account'!G23=0,ISBLANK('IceBank Account'!G23)),'IceBank Account'!B23="P"),AND(OR('IceBank Account'!G23=0,ISBLANK('IceBank Account'!G23)),'IceBank Account'!B23="I"),(OR('IceBank Account'!$P$4=0,ISBLANK('IceBank Account'!$P$4))),'IceBank Account'!C23=0),0,
IF('IceBank Account'!B23="F",0,
IF('IceBank Account'!C23-'IceBank Account'!$U$4*'IceBank Account'!H23&gt;'IceBank Account'!$P$4*'IceBank Account'!G23,'IceBank Account'!$P$4*'IceBank Account'!G23,'IceBank Account'!C23-('IceBank Account'!$U$4*'IceBank Account'!H23))))</f>
        <v>0</v>
      </c>
      <c r="R60" s="62">
        <f>IF(OR(AND(OR('IceBank Account'!H23=0,ISBLANK('IceBank Account'!H23)),'IceBank Account'!B23="P"),AND(OR('IceBank Account'!H23=0,ISBLANK('IceBank Account'!H23)),'IceBank Account'!B23="I"),(OR('IceBank Account'!$U$4=0,ISBLANK('IceBank Account'!$U$4))),'IceBank Account'!C23=0),0,
IF('IceBank Account'!B23="F",0,
IF('Chiller Calcs'!Q60&gt;'IceBank Account'!C23,0,IF('IceBank Account'!C23-'Chiller Calcs'!Q60&gt;'IceBank Account'!$U$4*'IceBank Account'!H23,'IceBank Account'!$U$4*'IceBank Account'!H23,'IceBank Account'!C23-'Chiller Calcs'!Q60))))</f>
        <v>0</v>
      </c>
      <c r="S60" s="46">
        <f t="shared" si="21"/>
        <v>0</v>
      </c>
      <c r="T60" s="47">
        <f>IF(F60="F",0,
      IF('IceBank Account'!$U$4&gt;S60,'IceBank Account'!$U$4,S60-'IceBank Account'!$U$4))</f>
        <v>0</v>
      </c>
      <c r="U60" s="46">
        <f t="shared" si="25"/>
        <v>0</v>
      </c>
      <c r="V60" s="46">
        <f t="shared" si="22"/>
        <v>0</v>
      </c>
      <c r="W60" s="65">
        <f>IF(IF(OR(ISBLANK('IceBank Account'!B23),ISBLANK('IceBank Account'!C23)),"",
IF('IceBank Account'!B23="F",'IceBank Account'!C23,
IF('IceBank Account'!B23="P",'IceBank Account'!C23-((IF(OR('IceBank Account'!G23=0,ISBLANK('IceBank Account'!G23)),0,'IceBank Account'!$P$4*'IceBank Account'!G23))+(IF(OR('IceBank Account'!H23=0,ISBLANK('IceBank Account'!H23)),0,'IceBank Account'!$U$4*'IceBank Account'!H23))),
                   IF('IceBank Account'!B23="I",IF('IceBank Account'!C23-(((IF(OR('IceBank Account'!G23=0,ISBLANK('IceBank Account'!G23)),0,'IceBank Account'!$P$4))*'IceBank Account'!G23)+((IF(OR('IceBank Account'!H23=0,ISBLANK('IceBank Account'!H23)),0,'IceBank Account'!$U$4))*'IceBank Account'!H23))&lt;0,0,
'IceBank Account'!C23-(((IF(OR('IceBank Account'!G23=0,ISBLANK('IceBank Account'!G23)),0,'IceBank Account'!$P$4*'IceBank Account'!G23))+(IF(OR('IceBank Account'!H23=0,ISBLANK('IceBank Account'!H23)),0,'IceBank Account'!$U$4*'IceBank Account'!H23))))),""))))&lt;0,0,
IF(OR(ISBLANK('IceBank Account'!B23),ISBLANK('IceBank Account'!C23)),"",IF('IceBank Account'!B23="F",'IceBank Account'!C23,IF('IceBank Account'!B23="P",'IceBank Account'!C23-((IF(OR('IceBank Account'!G23=0,ISBLANK('IceBank Account'!G23)),0,'IceBank Account'!$P$4*'IceBank Account'!G23))+(IF(OR('IceBank Account'!H23=0,ISBLANK('IceBank Account'!H23)),0,'IceBank Account'!$U$4*'IceBank Account'!H23))),IF('IceBank Account'!B23="I",IF('IceBank Account'!C23-(((IF(OR('IceBank Account'!G23=0,ISBLANK('IceBank Account'!G23)),0,'IceBank Account'!$P$4))*'IceBank Account'!G23)+((IF(OR('IceBank Account'!H23=0,ISBLANK('IceBank Account'!H23)),0,'IceBank Account'!$U$4))*'IceBank Account'!H23))&lt;0,0,'IceBank Account'!C23-(((IF(OR('IceBank Account'!G23=0,ISBLANK('IceBank Account'!G23)),0,'IceBank Account'!$P$4*'IceBank Account'!G23))+(IF(OR('IceBank Account'!H23=0,ISBLANK('IceBank Account'!H23)),0,'IceBank Account'!$U$4*'IceBank Account'!H23))))),"")))))</f>
        <v>125</v>
      </c>
      <c r="X60" s="65">
        <f t="shared" si="23"/>
        <v>0</v>
      </c>
      <c r="Z60" s="2">
        <f t="shared" si="24"/>
        <v>0</v>
      </c>
      <c r="AD60" s="46"/>
      <c r="AE60" s="46"/>
    </row>
    <row r="61" spans="5:31">
      <c r="E61" s="46">
        <f t="shared" si="17"/>
        <v>50</v>
      </c>
      <c r="F61" s="71" t="str">
        <f>'IceBank Account'!B24</f>
        <v>P</v>
      </c>
      <c r="G61" s="47">
        <v>17</v>
      </c>
      <c r="H61" s="61">
        <f>IF('IceBank Account'!B24="P",
                  IF('IceBank Account'!C24-(('IceBank Account'!$F$4*'IceBank Account'!E24)+(IF('IceBank Account'!$K$4="",0,('IceBank Account'!$K$4*'IceBank Account'!F24)))+('IceBank Account'!$P$4*'IceBank Account'!G24)+('IceBank Account'!$U$4*'IceBank Account'!H24))&lt;0,
                                 0,
                       'IceBank Account'!C24-(('IceBank Account'!$F$4*'IceBank Account'!E24)+(IF('IceBank Account'!$K$4="",0,('IceBank Account'!$K$4*'IceBank Account'!F24)))+('IceBank Account'!$P$4*'IceBank Account'!G24)+('IceBank Account'!$U$4*'IceBank Account'!H24))),
0)</f>
        <v>0</v>
      </c>
      <c r="I61" s="61">
        <f>IF('IceBank Account'!B24="F",'IceBank Account'!D24,0)</f>
        <v>0</v>
      </c>
      <c r="J61" s="61">
        <f>IF('IceBank Account'!B24="I",
                       IF((IF('IceBank Account'!$F$4="",0,'IceBank Account'!$F$4*'IceBank Account'!E24))+(IF('IceBank Account'!$K$4="",0,'IceBank Account'!$K$4*'IceBank Account'!F24))-('IceBank Account'!J24+'IceBank Account'!K24)&lt;0,
                                      0,
                             (IF('IceBank Account'!$F$4="",0,'IceBank Account'!$F$4*'IceBank Account'!E24))+((IF('IceBank Account'!$K$4="",0,'IceBank Account'!$K$4*'IceBank Account'!F24)))-('IceBank Account'!J24+'IceBank Account'!K24)),
0)</f>
        <v>0</v>
      </c>
      <c r="K61" s="61">
        <f>IF(AND(OR('IceBank Account'!$F$6=0,ISBLANK('IceBank Account'!$F$6)),'Chiller Calcs'!F61="P"),
     0,
IF(AND(OR('IceBank Account'!$F$5=0,ISBLANK('IceBank Account'!$F$5)),'Chiller Calcs'!F61="I"),
                  0,
              IF('IceBank Account'!$F$4="",0,IF(((IF(OR('IceBank Account'!B24="I",'IceBank Account'!B24="P"),
                              'Chiller Calcs'!W61,
              IF('IceBank Account'!B24="F",0,"")))-'Chiller Calcs'!H61)&gt;('IceBank Account'!$F$4*'IceBank Account'!E24),
                                   ('IceBank Account'!$F$4*'IceBank Account'!E24),
                       (IF(OR('IceBank Account'!B24="I",'IceBank Account'!B24="P"),
                                   'Chiller Calcs'!W61,
                        IF('IceBank Account'!B24="F",0,"")))-'Chiller Calcs'!H61))))</f>
        <v>50</v>
      </c>
      <c r="L61" s="61">
        <f>IF(AND(OR('IceBank Account'!$K$6=0,ISBLANK('IceBank Account'!$K$6)),'Chiller Calcs'!F61="P"),0,IF(AND(OR('IceBank Account'!$K$5=0,ISBLANK('IceBank Account'!$K$5)),'Chiller Calcs'!F61="I"),0,IF('IceBank Account'!$K$4="",0,IF(((IF(OR('IceBank Account'!B24="I",'IceBank Account'!B24="P"),'Chiller Calcs'!W61,IF('IceBank Account'!B24="F",0,"")))-'Chiller Calcs'!H61)&gt;('IceBank Account'!$K$4*'IceBank Account'!F24),('IceBank Account'!$K$4*'IceBank Account'!F24),(IF(OR('IceBank Account'!B24="I",'IceBank Account'!B24="P"),'Chiller Calcs'!W61,IF('IceBank Account'!B24="F",0,"")))-'Chiller Calcs'!H61))))</f>
        <v>0</v>
      </c>
      <c r="M61" s="61">
        <f t="shared" si="18"/>
        <v>50</v>
      </c>
      <c r="N61" s="61">
        <f t="shared" si="19"/>
        <v>50</v>
      </c>
      <c r="O61" s="61">
        <f t="shared" si="20"/>
        <v>0</v>
      </c>
      <c r="P61" s="61"/>
      <c r="Q61" s="62">
        <f>IF(OR(AND(OR('IceBank Account'!G24=0,ISBLANK('IceBank Account'!G24)),'IceBank Account'!B24="P"),AND(OR('IceBank Account'!G24=0,ISBLANK('IceBank Account'!G24)),'IceBank Account'!B24="I"),(OR('IceBank Account'!$P$4=0,ISBLANK('IceBank Account'!$P$4))),'IceBank Account'!C24=0),0,
IF('IceBank Account'!B24="F",0,
IF('IceBank Account'!C24-'IceBank Account'!$U$4*'IceBank Account'!H24&gt;'IceBank Account'!$P$4*'IceBank Account'!G24,'IceBank Account'!$P$4*'IceBank Account'!G24,'IceBank Account'!C24-('IceBank Account'!$U$4*'IceBank Account'!H24))))</f>
        <v>0</v>
      </c>
      <c r="R61" s="62">
        <f>IF(OR(AND(OR('IceBank Account'!H24=0,ISBLANK('IceBank Account'!H24)),'IceBank Account'!B24="P"),AND(OR('IceBank Account'!H24=0,ISBLANK('IceBank Account'!H24)),'IceBank Account'!B24="I"),(OR('IceBank Account'!$U$4=0,ISBLANK('IceBank Account'!$U$4))),'IceBank Account'!C24=0),0,
IF('IceBank Account'!B24="F",0,
IF('Chiller Calcs'!Q61&gt;'IceBank Account'!C24,0,IF('IceBank Account'!C24-'Chiller Calcs'!Q61&gt;'IceBank Account'!$U$4*'IceBank Account'!H24,'IceBank Account'!$U$4*'IceBank Account'!H24,'IceBank Account'!C24-'Chiller Calcs'!Q61))))</f>
        <v>0</v>
      </c>
      <c r="S61" s="46">
        <f t="shared" si="21"/>
        <v>0</v>
      </c>
      <c r="T61" s="47">
        <f>IF(F61="F",0,
      IF('IceBank Account'!$U$4&gt;S61,'IceBank Account'!$U$4,S61-'IceBank Account'!$U$4))</f>
        <v>0</v>
      </c>
      <c r="U61" s="46">
        <f t="shared" si="25"/>
        <v>0</v>
      </c>
      <c r="V61" s="46">
        <f t="shared" si="22"/>
        <v>0</v>
      </c>
      <c r="W61" s="65">
        <f>IF(IF(OR(ISBLANK('IceBank Account'!B24),ISBLANK('IceBank Account'!C24)),"",
IF('IceBank Account'!B24="F",'IceBank Account'!C24,
IF('IceBank Account'!B24="P",'IceBank Account'!C24-((IF(OR('IceBank Account'!G24=0,ISBLANK('IceBank Account'!G24)),0,'IceBank Account'!$P$4*'IceBank Account'!G24))+(IF(OR('IceBank Account'!H24=0,ISBLANK('IceBank Account'!H24)),0,'IceBank Account'!$U$4*'IceBank Account'!H24))),
                   IF('IceBank Account'!B24="I",IF('IceBank Account'!C24-(((IF(OR('IceBank Account'!G24=0,ISBLANK('IceBank Account'!G24)),0,'IceBank Account'!$P$4))*'IceBank Account'!G24)+((IF(OR('IceBank Account'!H24=0,ISBLANK('IceBank Account'!H24)),0,'IceBank Account'!$U$4))*'IceBank Account'!H24))&lt;0,0,
'IceBank Account'!C24-(((IF(OR('IceBank Account'!G24=0,ISBLANK('IceBank Account'!G24)),0,'IceBank Account'!$P$4*'IceBank Account'!G24))+(IF(OR('IceBank Account'!H24=0,ISBLANK('IceBank Account'!H24)),0,'IceBank Account'!$U$4*'IceBank Account'!H24))))),""))))&lt;0,0,
IF(OR(ISBLANK('IceBank Account'!B24),ISBLANK('IceBank Account'!C24)),"",IF('IceBank Account'!B24="F",'IceBank Account'!C24,IF('IceBank Account'!B24="P",'IceBank Account'!C24-((IF(OR('IceBank Account'!G24=0,ISBLANK('IceBank Account'!G24)),0,'IceBank Account'!$P$4*'IceBank Account'!G24))+(IF(OR('IceBank Account'!H24=0,ISBLANK('IceBank Account'!H24)),0,'IceBank Account'!$U$4*'IceBank Account'!H24))),IF('IceBank Account'!B24="I",IF('IceBank Account'!C24-(((IF(OR('IceBank Account'!G24=0,ISBLANK('IceBank Account'!G24)),0,'IceBank Account'!$P$4))*'IceBank Account'!G24)+((IF(OR('IceBank Account'!H24=0,ISBLANK('IceBank Account'!H24)),0,'IceBank Account'!$U$4))*'IceBank Account'!H24))&lt;0,0,'IceBank Account'!C24-(((IF(OR('IceBank Account'!G24=0,ISBLANK('IceBank Account'!G24)),0,'IceBank Account'!$P$4*'IceBank Account'!G24))+(IF(OR('IceBank Account'!H24=0,ISBLANK('IceBank Account'!H24)),0,'IceBank Account'!$U$4*'IceBank Account'!H24))))),"")))))</f>
        <v>50</v>
      </c>
      <c r="X61" s="65">
        <f t="shared" si="23"/>
        <v>0</v>
      </c>
      <c r="Z61" s="2">
        <f t="shared" si="24"/>
        <v>0</v>
      </c>
      <c r="AD61" s="46"/>
      <c r="AE61" s="46"/>
    </row>
    <row r="62" spans="5:31">
      <c r="E62" s="46">
        <f t="shared" si="17"/>
        <v>50</v>
      </c>
      <c r="F62" s="71" t="str">
        <f>'IceBank Account'!B25</f>
        <v>P</v>
      </c>
      <c r="G62" s="47">
        <v>18</v>
      </c>
      <c r="H62" s="61">
        <f>IF('IceBank Account'!B25="P",
                  IF('IceBank Account'!C25-(('IceBank Account'!$F$4*'IceBank Account'!E25)+(IF('IceBank Account'!$K$4="",0,('IceBank Account'!$K$4*'IceBank Account'!F25)))+('IceBank Account'!$P$4*'IceBank Account'!G25)+('IceBank Account'!$U$4*'IceBank Account'!H25))&lt;0,
                                 0,
                       'IceBank Account'!C25-(('IceBank Account'!$F$4*'IceBank Account'!E25)+(IF('IceBank Account'!$K$4="",0,('IceBank Account'!$K$4*'IceBank Account'!F25)))+('IceBank Account'!$P$4*'IceBank Account'!G25)+('IceBank Account'!$U$4*'IceBank Account'!H25))),
0)</f>
        <v>0</v>
      </c>
      <c r="I62" s="61">
        <f>IF('IceBank Account'!B25="F",'IceBank Account'!D25,0)</f>
        <v>0</v>
      </c>
      <c r="J62" s="61">
        <f>IF('IceBank Account'!B25="I",
                       IF((IF('IceBank Account'!$F$4="",0,'IceBank Account'!$F$4*'IceBank Account'!E25))+(IF('IceBank Account'!$K$4="",0,'IceBank Account'!$K$4*'IceBank Account'!F25))-('IceBank Account'!J25+'IceBank Account'!K25)&lt;0,
                                      0,
                             (IF('IceBank Account'!$F$4="",0,'IceBank Account'!$F$4*'IceBank Account'!E25))+((IF('IceBank Account'!$K$4="",0,'IceBank Account'!$K$4*'IceBank Account'!F25)))-('IceBank Account'!J25+'IceBank Account'!K25)),
0)</f>
        <v>0</v>
      </c>
      <c r="K62" s="61">
        <f>IF(AND(OR('IceBank Account'!$F$6=0,ISBLANK('IceBank Account'!$F$6)),'Chiller Calcs'!F62="P"),
     0,
IF(AND(OR('IceBank Account'!$F$5=0,ISBLANK('IceBank Account'!$F$5)),'Chiller Calcs'!F62="I"),
                  0,
              IF('IceBank Account'!$F$4="",0,IF(((IF(OR('IceBank Account'!B25="I",'IceBank Account'!B25="P"),
                              'Chiller Calcs'!W62,
              IF('IceBank Account'!B25="F",0,"")))-'Chiller Calcs'!H62)&gt;('IceBank Account'!$F$4*'IceBank Account'!E25),
                                   ('IceBank Account'!$F$4*'IceBank Account'!E25),
                       (IF(OR('IceBank Account'!B25="I",'IceBank Account'!B25="P"),
                                   'Chiller Calcs'!W62,
                        IF('IceBank Account'!B25="F",0,"")))-'Chiller Calcs'!H62))))</f>
        <v>50</v>
      </c>
      <c r="L62" s="61">
        <f>IF(AND(OR('IceBank Account'!$K$6=0,ISBLANK('IceBank Account'!$K$6)),'Chiller Calcs'!F62="P"),0,IF(AND(OR('IceBank Account'!$K$5=0,ISBLANK('IceBank Account'!$K$5)),'Chiller Calcs'!F62="I"),0,IF('IceBank Account'!$K$4="",0,IF(((IF(OR('IceBank Account'!B25="I",'IceBank Account'!B25="P"),'Chiller Calcs'!W62,IF('IceBank Account'!B25="F",0,"")))-'Chiller Calcs'!H62)&gt;('IceBank Account'!$K$4*'IceBank Account'!F25),('IceBank Account'!$K$4*'IceBank Account'!F25),(IF(OR('IceBank Account'!B25="I",'IceBank Account'!B25="P"),'Chiller Calcs'!W62,IF('IceBank Account'!B25="F",0,"")))-'Chiller Calcs'!H62))))</f>
        <v>0</v>
      </c>
      <c r="M62" s="61">
        <f t="shared" si="18"/>
        <v>50</v>
      </c>
      <c r="N62" s="61">
        <f t="shared" si="19"/>
        <v>50</v>
      </c>
      <c r="O62" s="61">
        <f t="shared" si="20"/>
        <v>0</v>
      </c>
      <c r="P62" s="61"/>
      <c r="Q62" s="62">
        <f>IF(OR(AND(OR('IceBank Account'!G25=0,ISBLANK('IceBank Account'!G25)),'IceBank Account'!B25="P"),AND(OR('IceBank Account'!G25=0,ISBLANK('IceBank Account'!G25)),'IceBank Account'!B25="I"),(OR('IceBank Account'!$P$4=0,ISBLANK('IceBank Account'!$P$4))),'IceBank Account'!C25=0),0,
IF('IceBank Account'!B25="F",0,
IF('IceBank Account'!C25-'IceBank Account'!$U$4*'IceBank Account'!H25&gt;'IceBank Account'!$P$4*'IceBank Account'!G25,'IceBank Account'!$P$4*'IceBank Account'!G25,'IceBank Account'!C25-('IceBank Account'!$U$4*'IceBank Account'!H25))))</f>
        <v>0</v>
      </c>
      <c r="R62" s="62">
        <f>IF(OR(AND(OR('IceBank Account'!H25=0,ISBLANK('IceBank Account'!H25)),'IceBank Account'!B25="P"),AND(OR('IceBank Account'!H25=0,ISBLANK('IceBank Account'!H25)),'IceBank Account'!B25="I"),(OR('IceBank Account'!$U$4=0,ISBLANK('IceBank Account'!$U$4))),'IceBank Account'!C25=0),0,
IF('IceBank Account'!B25="F",0,
IF('Chiller Calcs'!Q62&gt;'IceBank Account'!C25,0,IF('IceBank Account'!C25-'Chiller Calcs'!Q62&gt;'IceBank Account'!$U$4*'IceBank Account'!H25,'IceBank Account'!$U$4*'IceBank Account'!H25,'IceBank Account'!C25-'Chiller Calcs'!Q62))))</f>
        <v>0</v>
      </c>
      <c r="S62" s="46">
        <f t="shared" si="21"/>
        <v>0</v>
      </c>
      <c r="T62" s="47">
        <f>IF(F62="F",0,
      IF('IceBank Account'!$U$4&gt;S62,'IceBank Account'!$U$4,S62-'IceBank Account'!$U$4))</f>
        <v>0</v>
      </c>
      <c r="U62" s="46">
        <f t="shared" si="25"/>
        <v>0</v>
      </c>
      <c r="V62" s="46">
        <f t="shared" si="22"/>
        <v>0</v>
      </c>
      <c r="W62" s="65">
        <f>IF(IF(OR(ISBLANK('IceBank Account'!B25),ISBLANK('IceBank Account'!C25)),"",
IF('IceBank Account'!B25="F",'IceBank Account'!C25,
IF('IceBank Account'!B25="P",'IceBank Account'!C25-((IF(OR('IceBank Account'!G25=0,ISBLANK('IceBank Account'!G25)),0,'IceBank Account'!$P$4*'IceBank Account'!G25))+(IF(OR('IceBank Account'!H25=0,ISBLANK('IceBank Account'!H25)),0,'IceBank Account'!$U$4*'IceBank Account'!H25))),
                   IF('IceBank Account'!B25="I",IF('IceBank Account'!C25-(((IF(OR('IceBank Account'!G25=0,ISBLANK('IceBank Account'!G25)),0,'IceBank Account'!$P$4))*'IceBank Account'!G25)+((IF(OR('IceBank Account'!H25=0,ISBLANK('IceBank Account'!H25)),0,'IceBank Account'!$U$4))*'IceBank Account'!H25))&lt;0,0,
'IceBank Account'!C25-(((IF(OR('IceBank Account'!G25=0,ISBLANK('IceBank Account'!G25)),0,'IceBank Account'!$P$4*'IceBank Account'!G25))+(IF(OR('IceBank Account'!H25=0,ISBLANK('IceBank Account'!H25)),0,'IceBank Account'!$U$4*'IceBank Account'!H25))))),""))))&lt;0,0,
IF(OR(ISBLANK('IceBank Account'!B25),ISBLANK('IceBank Account'!C25)),"",IF('IceBank Account'!B25="F",'IceBank Account'!C25,IF('IceBank Account'!B25="P",'IceBank Account'!C25-((IF(OR('IceBank Account'!G25=0,ISBLANK('IceBank Account'!G25)),0,'IceBank Account'!$P$4*'IceBank Account'!G25))+(IF(OR('IceBank Account'!H25=0,ISBLANK('IceBank Account'!H25)),0,'IceBank Account'!$U$4*'IceBank Account'!H25))),IF('IceBank Account'!B25="I",IF('IceBank Account'!C25-(((IF(OR('IceBank Account'!G25=0,ISBLANK('IceBank Account'!G25)),0,'IceBank Account'!$P$4))*'IceBank Account'!G25)+((IF(OR('IceBank Account'!H25=0,ISBLANK('IceBank Account'!H25)),0,'IceBank Account'!$U$4))*'IceBank Account'!H25))&lt;0,0,'IceBank Account'!C25-(((IF(OR('IceBank Account'!G25=0,ISBLANK('IceBank Account'!G25)),0,'IceBank Account'!$P$4*'IceBank Account'!G25))+(IF(OR('IceBank Account'!H25=0,ISBLANK('IceBank Account'!H25)),0,'IceBank Account'!$U$4*'IceBank Account'!H25))))),"")))))</f>
        <v>50</v>
      </c>
      <c r="X62" s="65">
        <f t="shared" si="23"/>
        <v>0</v>
      </c>
      <c r="Z62" s="2">
        <f t="shared" si="24"/>
        <v>0</v>
      </c>
      <c r="AD62" s="46"/>
      <c r="AE62" s="46"/>
    </row>
    <row r="63" spans="5:31">
      <c r="E63" s="46">
        <f t="shared" si="17"/>
        <v>0</v>
      </c>
      <c r="F63" s="71" t="str">
        <f>'IceBank Account'!B26</f>
        <v>P</v>
      </c>
      <c r="G63" s="47">
        <v>19</v>
      </c>
      <c r="H63" s="61">
        <f>IF('IceBank Account'!B26="P",
                  IF('IceBank Account'!C26-(('IceBank Account'!$F$4*'IceBank Account'!E26)+(IF('IceBank Account'!$K$4="",0,('IceBank Account'!$K$4*'IceBank Account'!F26)))+('IceBank Account'!$P$4*'IceBank Account'!G26)+('IceBank Account'!$U$4*'IceBank Account'!H26))&lt;0,
                                 0,
                       'IceBank Account'!C26-(('IceBank Account'!$F$4*'IceBank Account'!E26)+(IF('IceBank Account'!$K$4="",0,('IceBank Account'!$K$4*'IceBank Account'!F26)))+('IceBank Account'!$P$4*'IceBank Account'!G26)+('IceBank Account'!$U$4*'IceBank Account'!H26))),
0)</f>
        <v>0</v>
      </c>
      <c r="I63" s="61">
        <f>IF('IceBank Account'!B26="F",'IceBank Account'!D26,0)</f>
        <v>0</v>
      </c>
      <c r="J63" s="61">
        <f>IF('IceBank Account'!B26="I",
                       IF((IF('IceBank Account'!$F$4="",0,'IceBank Account'!$F$4*'IceBank Account'!E26))+(IF('IceBank Account'!$K$4="",0,'IceBank Account'!$K$4*'IceBank Account'!F26))-('IceBank Account'!J26+'IceBank Account'!K26)&lt;0,
                                      0,
                             (IF('IceBank Account'!$F$4="",0,'IceBank Account'!$F$4*'IceBank Account'!E26))+((IF('IceBank Account'!$K$4="",0,'IceBank Account'!$K$4*'IceBank Account'!F26)))-('IceBank Account'!J26+'IceBank Account'!K26)),
0)</f>
        <v>0</v>
      </c>
      <c r="K63" s="61">
        <f>IF(AND(OR('IceBank Account'!$F$6=0,ISBLANK('IceBank Account'!$F$6)),'Chiller Calcs'!F63="P"),
     0,
IF(AND(OR('IceBank Account'!$F$5=0,ISBLANK('IceBank Account'!$F$5)),'Chiller Calcs'!F63="I"),
                  0,
              IF('IceBank Account'!$F$4="",0,IF(((IF(OR('IceBank Account'!B26="I",'IceBank Account'!B26="P"),
                              'Chiller Calcs'!W63,
              IF('IceBank Account'!B26="F",0,"")))-'Chiller Calcs'!H63)&gt;('IceBank Account'!$F$4*'IceBank Account'!E26),
                                   ('IceBank Account'!$F$4*'IceBank Account'!E26),
                       (IF(OR('IceBank Account'!B26="I",'IceBank Account'!B26="P"),
                                   'Chiller Calcs'!W63,
                        IF('IceBank Account'!B26="F",0,"")))-'Chiller Calcs'!H63))))</f>
        <v>0</v>
      </c>
      <c r="L63" s="61">
        <f>IF(AND(OR('IceBank Account'!$K$6=0,ISBLANK('IceBank Account'!$K$6)),'Chiller Calcs'!F63="P"),0,IF(AND(OR('IceBank Account'!$K$5=0,ISBLANK('IceBank Account'!$K$5)),'Chiller Calcs'!F63="I"),0,IF('IceBank Account'!$K$4="",0,IF(((IF(OR('IceBank Account'!B26="I",'IceBank Account'!B26="P"),'Chiller Calcs'!W63,IF('IceBank Account'!B26="F",0,"")))-'Chiller Calcs'!H63)&gt;('IceBank Account'!$K$4*'IceBank Account'!F26),('IceBank Account'!$K$4*'IceBank Account'!F26),(IF(OR('IceBank Account'!B26="I",'IceBank Account'!B26="P"),'Chiller Calcs'!W63,IF('IceBank Account'!B26="F",0,"")))-'Chiller Calcs'!H63))))</f>
        <v>0</v>
      </c>
      <c r="M63" s="61">
        <f t="shared" si="18"/>
        <v>0</v>
      </c>
      <c r="N63" s="61">
        <f t="shared" si="19"/>
        <v>0</v>
      </c>
      <c r="O63" s="61">
        <f t="shared" si="20"/>
        <v>0</v>
      </c>
      <c r="P63" s="61"/>
      <c r="Q63" s="62">
        <f>IF(OR(AND(OR('IceBank Account'!G26=0,ISBLANK('IceBank Account'!G26)),'IceBank Account'!B26="P"),AND(OR('IceBank Account'!G26=0,ISBLANK('IceBank Account'!G26)),'IceBank Account'!B26="I"),(OR('IceBank Account'!$P$4=0,ISBLANK('IceBank Account'!$P$4))),'IceBank Account'!C26=0),0,
IF('IceBank Account'!B26="F",0,
IF('IceBank Account'!C26-'IceBank Account'!$U$4*'IceBank Account'!H26&gt;'IceBank Account'!$P$4*'IceBank Account'!G26,'IceBank Account'!$P$4*'IceBank Account'!G26,'IceBank Account'!C26-('IceBank Account'!$U$4*'IceBank Account'!H26))))</f>
        <v>0</v>
      </c>
      <c r="R63" s="62">
        <f>IF(OR(AND(OR('IceBank Account'!H26=0,ISBLANK('IceBank Account'!H26)),'IceBank Account'!B26="P"),AND(OR('IceBank Account'!H26=0,ISBLANK('IceBank Account'!H26)),'IceBank Account'!B26="I"),(OR('IceBank Account'!$U$4=0,ISBLANK('IceBank Account'!$U$4))),'IceBank Account'!C26=0),0,
IF('IceBank Account'!B26="F",0,
IF('Chiller Calcs'!Q63&gt;'IceBank Account'!C26,0,IF('IceBank Account'!C26-'Chiller Calcs'!Q63&gt;'IceBank Account'!$U$4*'IceBank Account'!H26,'IceBank Account'!$U$4*'IceBank Account'!H26,'IceBank Account'!C26-'Chiller Calcs'!Q63))))</f>
        <v>0</v>
      </c>
      <c r="S63" s="46">
        <f t="shared" si="21"/>
        <v>0</v>
      </c>
      <c r="T63" s="47">
        <f>IF(F63="F",0,
      IF('IceBank Account'!$U$4&gt;S63,'IceBank Account'!$U$4,S63-'IceBank Account'!$U$4))</f>
        <v>0</v>
      </c>
      <c r="U63" s="46">
        <f t="shared" si="25"/>
        <v>0</v>
      </c>
      <c r="V63" s="46">
        <f t="shared" si="22"/>
        <v>0</v>
      </c>
      <c r="W63" s="65">
        <f>IF(IF(OR(ISBLANK('IceBank Account'!B26),ISBLANK('IceBank Account'!C26)),"",
IF('IceBank Account'!B26="F",'IceBank Account'!C26,
IF('IceBank Account'!B26="P",'IceBank Account'!C26-((IF(OR('IceBank Account'!G26=0,ISBLANK('IceBank Account'!G26)),0,'IceBank Account'!$P$4*'IceBank Account'!G26))+(IF(OR('IceBank Account'!H26=0,ISBLANK('IceBank Account'!H26)),0,'IceBank Account'!$U$4*'IceBank Account'!H26))),
                   IF('IceBank Account'!B26="I",IF('IceBank Account'!C26-(((IF(OR('IceBank Account'!G26=0,ISBLANK('IceBank Account'!G26)),0,'IceBank Account'!$P$4))*'IceBank Account'!G26)+((IF(OR('IceBank Account'!H26=0,ISBLANK('IceBank Account'!H26)),0,'IceBank Account'!$U$4))*'IceBank Account'!H26))&lt;0,0,
'IceBank Account'!C26-(((IF(OR('IceBank Account'!G26=0,ISBLANK('IceBank Account'!G26)),0,'IceBank Account'!$P$4*'IceBank Account'!G26))+(IF(OR('IceBank Account'!H26=0,ISBLANK('IceBank Account'!H26)),0,'IceBank Account'!$U$4*'IceBank Account'!H26))))),""))))&lt;0,0,
IF(OR(ISBLANK('IceBank Account'!B26),ISBLANK('IceBank Account'!C26)),"",IF('IceBank Account'!B26="F",'IceBank Account'!C26,IF('IceBank Account'!B26="P",'IceBank Account'!C26-((IF(OR('IceBank Account'!G26=0,ISBLANK('IceBank Account'!G26)),0,'IceBank Account'!$P$4*'IceBank Account'!G26))+(IF(OR('IceBank Account'!H26=0,ISBLANK('IceBank Account'!H26)),0,'IceBank Account'!$U$4*'IceBank Account'!H26))),IF('IceBank Account'!B26="I",IF('IceBank Account'!C26-(((IF(OR('IceBank Account'!G26=0,ISBLANK('IceBank Account'!G26)),0,'IceBank Account'!$P$4))*'IceBank Account'!G26)+((IF(OR('IceBank Account'!H26=0,ISBLANK('IceBank Account'!H26)),0,'IceBank Account'!$U$4))*'IceBank Account'!H26))&lt;0,0,'IceBank Account'!C26-(((IF(OR('IceBank Account'!G26=0,ISBLANK('IceBank Account'!G26)),0,'IceBank Account'!$P$4*'IceBank Account'!G26))+(IF(OR('IceBank Account'!H26=0,ISBLANK('IceBank Account'!H26)),0,'IceBank Account'!$U$4*'IceBank Account'!H26))))),"")))))</f>
        <v>0</v>
      </c>
      <c r="X63" s="65">
        <f t="shared" si="23"/>
        <v>0</v>
      </c>
      <c r="Z63" s="2">
        <f t="shared" si="24"/>
        <v>0</v>
      </c>
      <c r="AD63" s="46"/>
      <c r="AE63" s="46"/>
    </row>
    <row r="64" spans="5:31">
      <c r="E64" s="46">
        <f t="shared" si="17"/>
        <v>0</v>
      </c>
      <c r="F64" s="71" t="str">
        <f>'IceBank Account'!B27</f>
        <v>P</v>
      </c>
      <c r="G64" s="47">
        <v>20</v>
      </c>
      <c r="H64" s="61">
        <f>IF('IceBank Account'!B27="P",
                  IF('IceBank Account'!C27-(('IceBank Account'!$F$4*'IceBank Account'!E27)+(IF('IceBank Account'!$K$4="",0,('IceBank Account'!$K$4*'IceBank Account'!F27)))+('IceBank Account'!$P$4*'IceBank Account'!G27)+('IceBank Account'!$U$4*'IceBank Account'!H27))&lt;0,
                                 0,
                       'IceBank Account'!C27-(('IceBank Account'!$F$4*'IceBank Account'!E27)+(IF('IceBank Account'!$K$4="",0,('IceBank Account'!$K$4*'IceBank Account'!F27)))+('IceBank Account'!$P$4*'IceBank Account'!G27)+('IceBank Account'!$U$4*'IceBank Account'!H27))),
0)</f>
        <v>0</v>
      </c>
      <c r="I64" s="61">
        <f>IF('IceBank Account'!B27="F",'IceBank Account'!D27,0)</f>
        <v>0</v>
      </c>
      <c r="J64" s="61">
        <f>IF('IceBank Account'!B27="I",
                       IF((IF('IceBank Account'!$F$4="",0,'IceBank Account'!$F$4*'IceBank Account'!E27))+(IF('IceBank Account'!$K$4="",0,'IceBank Account'!$K$4*'IceBank Account'!F27))-('IceBank Account'!J27+'IceBank Account'!K27)&lt;0,
                                      0,
                             (IF('IceBank Account'!$F$4="",0,'IceBank Account'!$F$4*'IceBank Account'!E27))+((IF('IceBank Account'!$K$4="",0,'IceBank Account'!$K$4*'IceBank Account'!F27)))-('IceBank Account'!J27+'IceBank Account'!K27)),
0)</f>
        <v>0</v>
      </c>
      <c r="K64" s="61">
        <f>IF(AND(OR('IceBank Account'!$F$6=0,ISBLANK('IceBank Account'!$F$6)),'Chiller Calcs'!F64="P"),
     0,
IF(AND(OR('IceBank Account'!$F$5=0,ISBLANK('IceBank Account'!$F$5)),'Chiller Calcs'!F64="I"),
                  0,
              IF('IceBank Account'!$F$4="",0,IF(((IF(OR('IceBank Account'!B27="I",'IceBank Account'!B27="P"),
                              'Chiller Calcs'!W64,
              IF('IceBank Account'!B27="F",0,"")))-'Chiller Calcs'!H64)&gt;('IceBank Account'!$F$4*'IceBank Account'!E27),
                                   ('IceBank Account'!$F$4*'IceBank Account'!E27),
                       (IF(OR('IceBank Account'!B27="I",'IceBank Account'!B27="P"),
                                   'Chiller Calcs'!W64,
                        IF('IceBank Account'!B27="F",0,"")))-'Chiller Calcs'!H64))))</f>
        <v>0</v>
      </c>
      <c r="L64" s="61">
        <f>IF(AND(OR('IceBank Account'!$K$6=0,ISBLANK('IceBank Account'!$K$6)),'Chiller Calcs'!F64="P"),0,IF(AND(OR('IceBank Account'!$K$5=0,ISBLANK('IceBank Account'!$K$5)),'Chiller Calcs'!F64="I"),0,IF('IceBank Account'!$K$4="",0,IF(((IF(OR('IceBank Account'!B27="I",'IceBank Account'!B27="P"),'Chiller Calcs'!W64,IF('IceBank Account'!B27="F",0,"")))-'Chiller Calcs'!H64)&gt;('IceBank Account'!$K$4*'IceBank Account'!F27),('IceBank Account'!$K$4*'IceBank Account'!F27),(IF(OR('IceBank Account'!B27="I",'IceBank Account'!B27="P"),'Chiller Calcs'!W64,IF('IceBank Account'!B27="F",0,"")))-'Chiller Calcs'!H64))))</f>
        <v>0</v>
      </c>
      <c r="M64" s="61">
        <f t="shared" si="18"/>
        <v>0</v>
      </c>
      <c r="N64" s="61">
        <f t="shared" si="19"/>
        <v>0</v>
      </c>
      <c r="O64" s="61">
        <f t="shared" si="20"/>
        <v>0</v>
      </c>
      <c r="P64" s="61"/>
      <c r="Q64" s="62">
        <f>IF(OR(AND(OR('IceBank Account'!G27=0,ISBLANK('IceBank Account'!G27)),'IceBank Account'!B27="P"),AND(OR('IceBank Account'!G27=0,ISBLANK('IceBank Account'!G27)),'IceBank Account'!B27="I"),(OR('IceBank Account'!$P$4=0,ISBLANK('IceBank Account'!$P$4))),'IceBank Account'!C27=0),0,
IF('IceBank Account'!B27="F",0,
IF('IceBank Account'!C27-'IceBank Account'!$U$4*'IceBank Account'!H27&gt;'IceBank Account'!$P$4*'IceBank Account'!G27,'IceBank Account'!$P$4*'IceBank Account'!G27,'IceBank Account'!C27-('IceBank Account'!$U$4*'IceBank Account'!H27))))</f>
        <v>0</v>
      </c>
      <c r="R64" s="62">
        <f>IF(OR(AND(OR('IceBank Account'!H27=0,ISBLANK('IceBank Account'!H27)),'IceBank Account'!B27="P"),AND(OR('IceBank Account'!H27=0,ISBLANK('IceBank Account'!H27)),'IceBank Account'!B27="I"),(OR('IceBank Account'!$U$4=0,ISBLANK('IceBank Account'!$U$4))),'IceBank Account'!C27=0),0,
IF('IceBank Account'!B27="F",0,
IF('Chiller Calcs'!Q64&gt;'IceBank Account'!C27,0,IF('IceBank Account'!C27-'Chiller Calcs'!Q64&gt;'IceBank Account'!$U$4*'IceBank Account'!H27,'IceBank Account'!$U$4*'IceBank Account'!H27,'IceBank Account'!C27-'Chiller Calcs'!Q64))))</f>
        <v>0</v>
      </c>
      <c r="S64" s="46">
        <f t="shared" si="21"/>
        <v>0</v>
      </c>
      <c r="T64" s="47">
        <f>IF(F64="F",0,
      IF('IceBank Account'!$U$4&gt;S64,'IceBank Account'!$U$4,S64-'IceBank Account'!$U$4))</f>
        <v>0</v>
      </c>
      <c r="U64" s="46">
        <f t="shared" si="25"/>
        <v>0</v>
      </c>
      <c r="V64" s="46">
        <f t="shared" si="22"/>
        <v>0</v>
      </c>
      <c r="W64" s="65">
        <f>IF(IF(OR(ISBLANK('IceBank Account'!B27),ISBLANK('IceBank Account'!C27)),"",
IF('IceBank Account'!B27="F",'IceBank Account'!C27,
IF('IceBank Account'!B27="P",'IceBank Account'!C27-((IF(OR('IceBank Account'!G27=0,ISBLANK('IceBank Account'!G27)),0,'IceBank Account'!$P$4*'IceBank Account'!G27))+(IF(OR('IceBank Account'!H27=0,ISBLANK('IceBank Account'!H27)),0,'IceBank Account'!$U$4*'IceBank Account'!H27))),
                   IF('IceBank Account'!B27="I",IF('IceBank Account'!C27-(((IF(OR('IceBank Account'!G27=0,ISBLANK('IceBank Account'!G27)),0,'IceBank Account'!$P$4))*'IceBank Account'!G27)+((IF(OR('IceBank Account'!H27=0,ISBLANK('IceBank Account'!H27)),0,'IceBank Account'!$U$4))*'IceBank Account'!H27))&lt;0,0,
'IceBank Account'!C27-(((IF(OR('IceBank Account'!G27=0,ISBLANK('IceBank Account'!G27)),0,'IceBank Account'!$P$4*'IceBank Account'!G27))+(IF(OR('IceBank Account'!H27=0,ISBLANK('IceBank Account'!H27)),0,'IceBank Account'!$U$4*'IceBank Account'!H27))))),""))))&lt;0,0,
IF(OR(ISBLANK('IceBank Account'!B27),ISBLANK('IceBank Account'!C27)),"",IF('IceBank Account'!B27="F",'IceBank Account'!C27,IF('IceBank Account'!B27="P",'IceBank Account'!C27-((IF(OR('IceBank Account'!G27=0,ISBLANK('IceBank Account'!G27)),0,'IceBank Account'!$P$4*'IceBank Account'!G27))+(IF(OR('IceBank Account'!H27=0,ISBLANK('IceBank Account'!H27)),0,'IceBank Account'!$U$4*'IceBank Account'!H27))),IF('IceBank Account'!B27="I",IF('IceBank Account'!C27-(((IF(OR('IceBank Account'!G27=0,ISBLANK('IceBank Account'!G27)),0,'IceBank Account'!$P$4))*'IceBank Account'!G27)+((IF(OR('IceBank Account'!H27=0,ISBLANK('IceBank Account'!H27)),0,'IceBank Account'!$U$4))*'IceBank Account'!H27))&lt;0,0,'IceBank Account'!C27-(((IF(OR('IceBank Account'!G27=0,ISBLANK('IceBank Account'!G27)),0,'IceBank Account'!$P$4*'IceBank Account'!G27))+(IF(OR('IceBank Account'!H27=0,ISBLANK('IceBank Account'!H27)),0,'IceBank Account'!$U$4*'IceBank Account'!H27))))),"")))))</f>
        <v>0</v>
      </c>
      <c r="X64" s="65">
        <f t="shared" si="23"/>
        <v>0</v>
      </c>
      <c r="Z64" s="2">
        <f t="shared" si="24"/>
        <v>0</v>
      </c>
      <c r="AD64" s="46"/>
      <c r="AE64" s="46"/>
    </row>
    <row r="65" spans="5:31">
      <c r="E65" s="46">
        <f t="shared" si="17"/>
        <v>0</v>
      </c>
      <c r="F65" s="71" t="str">
        <f>'IceBank Account'!B28</f>
        <v>P</v>
      </c>
      <c r="G65" s="47">
        <v>21</v>
      </c>
      <c r="H65" s="61">
        <f>IF('IceBank Account'!B28="P",
                  IF('IceBank Account'!C28-(('IceBank Account'!$F$4*'IceBank Account'!E28)+(IF('IceBank Account'!$K$4="",0,('IceBank Account'!$K$4*'IceBank Account'!F28)))+('IceBank Account'!$P$4*'IceBank Account'!G28)+('IceBank Account'!$U$4*'IceBank Account'!H28))&lt;0,
                                 0,
                       'IceBank Account'!C28-(('IceBank Account'!$F$4*'IceBank Account'!E28)+(IF('IceBank Account'!$K$4="",0,('IceBank Account'!$K$4*'IceBank Account'!F28)))+('IceBank Account'!$P$4*'IceBank Account'!G28)+('IceBank Account'!$U$4*'IceBank Account'!H28))),
0)</f>
        <v>0</v>
      </c>
      <c r="I65" s="61">
        <f>IF('IceBank Account'!B28="F",'IceBank Account'!D28,0)</f>
        <v>0</v>
      </c>
      <c r="J65" s="61">
        <f>IF('IceBank Account'!B28="I",
                       IF((IF('IceBank Account'!$F$4="",0,'IceBank Account'!$F$4*'IceBank Account'!E28))+(IF('IceBank Account'!$K$4="",0,'IceBank Account'!$K$4*'IceBank Account'!F28))-('IceBank Account'!J28+'IceBank Account'!K28)&lt;0,
                                      0,
                             (IF('IceBank Account'!$F$4="",0,'IceBank Account'!$F$4*'IceBank Account'!E28))+((IF('IceBank Account'!$K$4="",0,'IceBank Account'!$K$4*'IceBank Account'!F28)))-('IceBank Account'!J28+'IceBank Account'!K28)),
0)</f>
        <v>0</v>
      </c>
      <c r="K65" s="61">
        <f>IF(AND(OR('IceBank Account'!$F$6=0,ISBLANK('IceBank Account'!$F$6)),'Chiller Calcs'!F65="P"),
     0,
IF(AND(OR('IceBank Account'!$F$5=0,ISBLANK('IceBank Account'!$F$5)),'Chiller Calcs'!F65="I"),
                  0,
              IF('IceBank Account'!$F$4="",0,IF(((IF(OR('IceBank Account'!B28="I",'IceBank Account'!B28="P"),
                              'Chiller Calcs'!W65,
              IF('IceBank Account'!B28="F",0,"")))-'Chiller Calcs'!H65)&gt;('IceBank Account'!$F$4*'IceBank Account'!E28),
                                   ('IceBank Account'!$F$4*'IceBank Account'!E28),
                       (IF(OR('IceBank Account'!B28="I",'IceBank Account'!B28="P"),
                                   'Chiller Calcs'!W65,
                        IF('IceBank Account'!B28="F",0,"")))-'Chiller Calcs'!H65))))</f>
        <v>0</v>
      </c>
      <c r="L65" s="61">
        <f>IF(AND(OR('IceBank Account'!$K$6=0,ISBLANK('IceBank Account'!$K$6)),'Chiller Calcs'!F65="P"),0,IF(AND(OR('IceBank Account'!$K$5=0,ISBLANK('IceBank Account'!$K$5)),'Chiller Calcs'!F65="I"),0,IF('IceBank Account'!$K$4="",0,IF(((IF(OR('IceBank Account'!B28="I",'IceBank Account'!B28="P"),'Chiller Calcs'!W65,IF('IceBank Account'!B28="F",0,"")))-'Chiller Calcs'!H65)&gt;('IceBank Account'!$K$4*'IceBank Account'!F28),('IceBank Account'!$K$4*'IceBank Account'!F28),(IF(OR('IceBank Account'!B28="I",'IceBank Account'!B28="P"),'Chiller Calcs'!W65,IF('IceBank Account'!B28="F",0,"")))-'Chiller Calcs'!H65))))</f>
        <v>0</v>
      </c>
      <c r="M65" s="61">
        <f t="shared" si="18"/>
        <v>0</v>
      </c>
      <c r="N65" s="61">
        <f t="shared" si="19"/>
        <v>0</v>
      </c>
      <c r="O65" s="61">
        <f t="shared" si="20"/>
        <v>0</v>
      </c>
      <c r="P65" s="61"/>
      <c r="Q65" s="62">
        <f>IF(OR(AND(OR('IceBank Account'!G28=0,ISBLANK('IceBank Account'!G28)),'IceBank Account'!B28="P"),AND(OR('IceBank Account'!G28=0,ISBLANK('IceBank Account'!G28)),'IceBank Account'!B28="I"),(OR('IceBank Account'!$P$4=0,ISBLANK('IceBank Account'!$P$4))),'IceBank Account'!C28=0),0,
IF('IceBank Account'!B28="F",0,
IF('IceBank Account'!C28-'IceBank Account'!$U$4*'IceBank Account'!H28&gt;'IceBank Account'!$P$4*'IceBank Account'!G28,'IceBank Account'!$P$4*'IceBank Account'!G28,'IceBank Account'!C28-('IceBank Account'!$U$4*'IceBank Account'!H28))))</f>
        <v>0</v>
      </c>
      <c r="R65" s="62">
        <f>IF(OR(AND(OR('IceBank Account'!H28=0,ISBLANK('IceBank Account'!H28)),'IceBank Account'!B28="P"),AND(OR('IceBank Account'!H28=0,ISBLANK('IceBank Account'!H28)),'IceBank Account'!B28="I"),(OR('IceBank Account'!$U$4=0,ISBLANK('IceBank Account'!$U$4))),'IceBank Account'!C28=0),0,
IF('IceBank Account'!B28="F",0,
IF('Chiller Calcs'!Q65&gt;'IceBank Account'!C28,0,IF('IceBank Account'!C28-'Chiller Calcs'!Q65&gt;'IceBank Account'!$U$4*'IceBank Account'!H28,'IceBank Account'!$U$4*'IceBank Account'!H28,'IceBank Account'!C28-'Chiller Calcs'!Q65))))</f>
        <v>0</v>
      </c>
      <c r="S65" s="46">
        <f t="shared" si="21"/>
        <v>0</v>
      </c>
      <c r="T65" s="47">
        <f>IF(F65="F",0,
      IF('IceBank Account'!$U$4&gt;S65,'IceBank Account'!$U$4,S65-'IceBank Account'!$U$4))</f>
        <v>0</v>
      </c>
      <c r="U65" s="46">
        <f t="shared" si="25"/>
        <v>0</v>
      </c>
      <c r="V65" s="46">
        <f t="shared" si="22"/>
        <v>0</v>
      </c>
      <c r="W65" s="65">
        <f>IF(IF(OR(ISBLANK('IceBank Account'!B28),ISBLANK('IceBank Account'!C28)),"",
IF('IceBank Account'!B28="F",'IceBank Account'!C28,
IF('IceBank Account'!B28="P",'IceBank Account'!C28-((IF(OR('IceBank Account'!G28=0,ISBLANK('IceBank Account'!G28)),0,'IceBank Account'!$P$4*'IceBank Account'!G28))+(IF(OR('IceBank Account'!H28=0,ISBLANK('IceBank Account'!H28)),0,'IceBank Account'!$U$4*'IceBank Account'!H28))),
                   IF('IceBank Account'!B28="I",IF('IceBank Account'!C28-(((IF(OR('IceBank Account'!G28=0,ISBLANK('IceBank Account'!G28)),0,'IceBank Account'!$P$4))*'IceBank Account'!G28)+((IF(OR('IceBank Account'!H28=0,ISBLANK('IceBank Account'!H28)),0,'IceBank Account'!$U$4))*'IceBank Account'!H28))&lt;0,0,
'IceBank Account'!C28-(((IF(OR('IceBank Account'!G28=0,ISBLANK('IceBank Account'!G28)),0,'IceBank Account'!$P$4*'IceBank Account'!G28))+(IF(OR('IceBank Account'!H28=0,ISBLANK('IceBank Account'!H28)),0,'IceBank Account'!$U$4*'IceBank Account'!H28))))),""))))&lt;0,0,
IF(OR(ISBLANK('IceBank Account'!B28),ISBLANK('IceBank Account'!C28)),"",IF('IceBank Account'!B28="F",'IceBank Account'!C28,IF('IceBank Account'!B28="P",'IceBank Account'!C28-((IF(OR('IceBank Account'!G28=0,ISBLANK('IceBank Account'!G28)),0,'IceBank Account'!$P$4*'IceBank Account'!G28))+(IF(OR('IceBank Account'!H28=0,ISBLANK('IceBank Account'!H28)),0,'IceBank Account'!$U$4*'IceBank Account'!H28))),IF('IceBank Account'!B28="I",IF('IceBank Account'!C28-(((IF(OR('IceBank Account'!G28=0,ISBLANK('IceBank Account'!G28)),0,'IceBank Account'!$P$4))*'IceBank Account'!G28)+((IF(OR('IceBank Account'!H28=0,ISBLANK('IceBank Account'!H28)),0,'IceBank Account'!$U$4))*'IceBank Account'!H28))&lt;0,0,'IceBank Account'!C28-(((IF(OR('IceBank Account'!G28=0,ISBLANK('IceBank Account'!G28)),0,'IceBank Account'!$P$4*'IceBank Account'!G28))+(IF(OR('IceBank Account'!H28=0,ISBLANK('IceBank Account'!H28)),0,'IceBank Account'!$U$4*'IceBank Account'!H28))))),"")))))</f>
        <v>0</v>
      </c>
      <c r="X65" s="65">
        <f t="shared" si="23"/>
        <v>0</v>
      </c>
      <c r="Z65" s="2">
        <f t="shared" si="24"/>
        <v>0</v>
      </c>
      <c r="AD65" s="46"/>
      <c r="AE65" s="46"/>
    </row>
    <row r="66" spans="5:31">
      <c r="E66" s="46">
        <f t="shared" si="17"/>
        <v>0</v>
      </c>
      <c r="F66" s="71" t="str">
        <f>'IceBank Account'!B29</f>
        <v>P</v>
      </c>
      <c r="G66" s="47">
        <v>22</v>
      </c>
      <c r="H66" s="61">
        <f>IF('IceBank Account'!B29="P",
                  IF('IceBank Account'!C29-(('IceBank Account'!$F$4*'IceBank Account'!E29)+(IF('IceBank Account'!$K$4="",0,('IceBank Account'!$K$4*'IceBank Account'!F29)))+('IceBank Account'!$P$4*'IceBank Account'!G29)+('IceBank Account'!$U$4*'IceBank Account'!H29))&lt;0,
                                 0,
                       'IceBank Account'!C29-(('IceBank Account'!$F$4*'IceBank Account'!E29)+(IF('IceBank Account'!$K$4="",0,('IceBank Account'!$K$4*'IceBank Account'!F29)))+('IceBank Account'!$P$4*'IceBank Account'!G29)+('IceBank Account'!$U$4*'IceBank Account'!H29))),
0)</f>
        <v>0</v>
      </c>
      <c r="I66" s="61">
        <f>IF('IceBank Account'!B29="F",'IceBank Account'!D29,0)</f>
        <v>0</v>
      </c>
      <c r="J66" s="61">
        <f>IF('IceBank Account'!B29="I",
                       IF((IF('IceBank Account'!$F$4="",0,'IceBank Account'!$F$4*'IceBank Account'!E29))+(IF('IceBank Account'!$K$4="",0,'IceBank Account'!$K$4*'IceBank Account'!F29))-('IceBank Account'!J29+'IceBank Account'!K29)&lt;0,
                                      0,
                             (IF('IceBank Account'!$F$4="",0,'IceBank Account'!$F$4*'IceBank Account'!E29))+((IF('IceBank Account'!$K$4="",0,'IceBank Account'!$K$4*'IceBank Account'!F29)))-('IceBank Account'!J29+'IceBank Account'!K29)),
0)</f>
        <v>0</v>
      </c>
      <c r="K66" s="61">
        <f>IF(AND(OR('IceBank Account'!$F$6=0,ISBLANK('IceBank Account'!$F$6)),'Chiller Calcs'!F66="P"),
     0,
IF(AND(OR('IceBank Account'!$F$5=0,ISBLANK('IceBank Account'!$F$5)),'Chiller Calcs'!F66="I"),
                  0,
              IF('IceBank Account'!$F$4="",0,IF(((IF(OR('IceBank Account'!B29="I",'IceBank Account'!B29="P"),
                              'Chiller Calcs'!W66,
              IF('IceBank Account'!B29="F",0,"")))-'Chiller Calcs'!H66)&gt;('IceBank Account'!$F$4*'IceBank Account'!E29),
                                   ('IceBank Account'!$F$4*'IceBank Account'!E29),
                       (IF(OR('IceBank Account'!B29="I",'IceBank Account'!B29="P"),
                                   'Chiller Calcs'!W66,
                        IF('IceBank Account'!B29="F",0,"")))-'Chiller Calcs'!H66))))</f>
        <v>0</v>
      </c>
      <c r="L66" s="61">
        <f>IF(AND(OR('IceBank Account'!$K$6=0,ISBLANK('IceBank Account'!$K$6)),'Chiller Calcs'!F66="P"),0,IF(AND(OR('IceBank Account'!$K$5=0,ISBLANK('IceBank Account'!$K$5)),'Chiller Calcs'!F66="I"),0,IF('IceBank Account'!$K$4="",0,IF(((IF(OR('IceBank Account'!B29="I",'IceBank Account'!B29="P"),'Chiller Calcs'!W66,IF('IceBank Account'!B29="F",0,"")))-'Chiller Calcs'!H66)&gt;('IceBank Account'!$K$4*'IceBank Account'!F29),('IceBank Account'!$K$4*'IceBank Account'!F29),(IF(OR('IceBank Account'!B29="I",'IceBank Account'!B29="P"),'Chiller Calcs'!W66,IF('IceBank Account'!B29="F",0,"")))-'Chiller Calcs'!H66))))</f>
        <v>0</v>
      </c>
      <c r="M66" s="61">
        <f t="shared" si="18"/>
        <v>0</v>
      </c>
      <c r="N66" s="61">
        <f t="shared" si="19"/>
        <v>0</v>
      </c>
      <c r="O66" s="61">
        <f t="shared" si="20"/>
        <v>0</v>
      </c>
      <c r="P66" s="61"/>
      <c r="Q66" s="62">
        <f>IF(OR(AND(OR('IceBank Account'!G29=0,ISBLANK('IceBank Account'!G29)),'IceBank Account'!B29="P"),AND(OR('IceBank Account'!G29=0,ISBLANK('IceBank Account'!G29)),'IceBank Account'!B29="I"),(OR('IceBank Account'!$P$4=0,ISBLANK('IceBank Account'!$P$4))),'IceBank Account'!C29=0),0,
IF('IceBank Account'!B29="F",0,
IF('IceBank Account'!C29-'IceBank Account'!$U$4*'IceBank Account'!H29&gt;'IceBank Account'!$P$4*'IceBank Account'!G29,'IceBank Account'!$P$4*'IceBank Account'!G29,'IceBank Account'!C29-('IceBank Account'!$U$4*'IceBank Account'!H29))))</f>
        <v>0</v>
      </c>
      <c r="R66" s="62">
        <f>IF(OR(AND(OR('IceBank Account'!H29=0,ISBLANK('IceBank Account'!H29)),'IceBank Account'!B29="P"),AND(OR('IceBank Account'!H29=0,ISBLANK('IceBank Account'!H29)),'IceBank Account'!B29="I"),(OR('IceBank Account'!$U$4=0,ISBLANK('IceBank Account'!$U$4))),'IceBank Account'!C29=0),0,
IF('IceBank Account'!B29="F",0,
IF('Chiller Calcs'!Q66&gt;'IceBank Account'!C29,0,IF('IceBank Account'!C29-'Chiller Calcs'!Q66&gt;'IceBank Account'!$U$4*'IceBank Account'!H29,'IceBank Account'!$U$4*'IceBank Account'!H29,'IceBank Account'!C29-'Chiller Calcs'!Q66))))</f>
        <v>0</v>
      </c>
      <c r="S66" s="46">
        <f t="shared" si="21"/>
        <v>0</v>
      </c>
      <c r="T66" s="47">
        <f>IF(F66="F",0,
      IF('IceBank Account'!$U$4&gt;S66,'IceBank Account'!$U$4,S66-'IceBank Account'!$U$4))</f>
        <v>0</v>
      </c>
      <c r="U66" s="46">
        <f t="shared" si="25"/>
        <v>0</v>
      </c>
      <c r="V66" s="46">
        <f t="shared" si="22"/>
        <v>0</v>
      </c>
      <c r="W66" s="65">
        <f>IF(IF(OR(ISBLANK('IceBank Account'!B29),ISBLANK('IceBank Account'!C29)),"",
IF('IceBank Account'!B29="F",'IceBank Account'!C29,
IF('IceBank Account'!B29="P",'IceBank Account'!C29-((IF(OR('IceBank Account'!G29=0,ISBLANK('IceBank Account'!G29)),0,'IceBank Account'!$P$4*'IceBank Account'!G29))+(IF(OR('IceBank Account'!H29=0,ISBLANK('IceBank Account'!H29)),0,'IceBank Account'!$U$4*'IceBank Account'!H29))),
                   IF('IceBank Account'!B29="I",IF('IceBank Account'!C29-(((IF(OR('IceBank Account'!G29=0,ISBLANK('IceBank Account'!G29)),0,'IceBank Account'!$P$4))*'IceBank Account'!G29)+((IF(OR('IceBank Account'!H29=0,ISBLANK('IceBank Account'!H29)),0,'IceBank Account'!$U$4))*'IceBank Account'!H29))&lt;0,0,
'IceBank Account'!C29-(((IF(OR('IceBank Account'!G29=0,ISBLANK('IceBank Account'!G29)),0,'IceBank Account'!$P$4*'IceBank Account'!G29))+(IF(OR('IceBank Account'!H29=0,ISBLANK('IceBank Account'!H29)),0,'IceBank Account'!$U$4*'IceBank Account'!H29))))),""))))&lt;0,0,
IF(OR(ISBLANK('IceBank Account'!B29),ISBLANK('IceBank Account'!C29)),"",IF('IceBank Account'!B29="F",'IceBank Account'!C29,IF('IceBank Account'!B29="P",'IceBank Account'!C29-((IF(OR('IceBank Account'!G29=0,ISBLANK('IceBank Account'!G29)),0,'IceBank Account'!$P$4*'IceBank Account'!G29))+(IF(OR('IceBank Account'!H29=0,ISBLANK('IceBank Account'!H29)),0,'IceBank Account'!$U$4*'IceBank Account'!H29))),IF('IceBank Account'!B29="I",IF('IceBank Account'!C29-(((IF(OR('IceBank Account'!G29=0,ISBLANK('IceBank Account'!G29)),0,'IceBank Account'!$P$4))*'IceBank Account'!G29)+((IF(OR('IceBank Account'!H29=0,ISBLANK('IceBank Account'!H29)),0,'IceBank Account'!$U$4))*'IceBank Account'!H29))&lt;0,0,'IceBank Account'!C29-(((IF(OR('IceBank Account'!G29=0,ISBLANK('IceBank Account'!G29)),0,'IceBank Account'!$P$4*'IceBank Account'!G29))+(IF(OR('IceBank Account'!H29=0,ISBLANK('IceBank Account'!H29)),0,'IceBank Account'!$U$4*'IceBank Account'!H29))))),"")))))</f>
        <v>0</v>
      </c>
      <c r="X66" s="65">
        <f t="shared" si="23"/>
        <v>0</v>
      </c>
      <c r="Z66" s="2">
        <f t="shared" si="24"/>
        <v>0</v>
      </c>
      <c r="AD66" s="46"/>
      <c r="AE66" s="46"/>
    </row>
    <row r="67" spans="5:31">
      <c r="E67" s="46">
        <f t="shared" si="17"/>
        <v>0</v>
      </c>
      <c r="F67" s="71" t="str">
        <f>'IceBank Account'!B30</f>
        <v>I</v>
      </c>
      <c r="G67" s="47">
        <v>23</v>
      </c>
      <c r="H67" s="61">
        <f>IF('IceBank Account'!B30="P",
                  IF('IceBank Account'!C30-(('IceBank Account'!$F$4*'IceBank Account'!E30)+(IF('IceBank Account'!$K$4="",0,('IceBank Account'!$K$4*'IceBank Account'!F30)))+('IceBank Account'!$P$4*'IceBank Account'!G30)+('IceBank Account'!$U$4*'IceBank Account'!H30))&lt;0,
                                 0,
                       'IceBank Account'!C30-(('IceBank Account'!$F$4*'IceBank Account'!E30)+(IF('IceBank Account'!$K$4="",0,('IceBank Account'!$K$4*'IceBank Account'!F30)))+('IceBank Account'!$P$4*'IceBank Account'!G30)+('IceBank Account'!$U$4*'IceBank Account'!H30))),
0)</f>
        <v>0</v>
      </c>
      <c r="I67" s="61">
        <f>IF('IceBank Account'!B30="F",'IceBank Account'!D30,0)</f>
        <v>0</v>
      </c>
      <c r="J67" s="61">
        <f>IF('IceBank Account'!B30="I",
                       IF((IF('IceBank Account'!$F$4="",0,'IceBank Account'!$F$4*'IceBank Account'!E30))+(IF('IceBank Account'!$K$4="",0,'IceBank Account'!$K$4*'IceBank Account'!F30))-('IceBank Account'!J30+'IceBank Account'!K30)&lt;0,
                                      0,
                             (IF('IceBank Account'!$F$4="",0,'IceBank Account'!$F$4*'IceBank Account'!E30))+((IF('IceBank Account'!$K$4="",0,'IceBank Account'!$K$4*'IceBank Account'!F30)))-('IceBank Account'!J30+'IceBank Account'!K30)),
0)</f>
        <v>96.158256880733944</v>
      </c>
      <c r="K67" s="61">
        <f>IF(AND(OR('IceBank Account'!$F$6=0,ISBLANK('IceBank Account'!$F$6)),'Chiller Calcs'!F67="P"),
     0,
IF(AND(OR('IceBank Account'!$F$5=0,ISBLANK('IceBank Account'!$F$5)),'Chiller Calcs'!F67="I"),
                  0,
              IF('IceBank Account'!$F$4="",0,IF(((IF(OR('IceBank Account'!B30="I",'IceBank Account'!B30="P"),
                              'Chiller Calcs'!W67,
              IF('IceBank Account'!B30="F",0,"")))-'Chiller Calcs'!H67)&gt;('IceBank Account'!$F$4*'IceBank Account'!E30),
                                   ('IceBank Account'!$F$4*'IceBank Account'!E30),
                       (IF(OR('IceBank Account'!B30="I",'IceBank Account'!B30="P"),
                                   'Chiller Calcs'!W67,
                        IF('IceBank Account'!B30="F",0,"")))-'Chiller Calcs'!H67))))</f>
        <v>0</v>
      </c>
      <c r="L67" s="61">
        <f>IF(AND(OR('IceBank Account'!$K$6=0,ISBLANK('IceBank Account'!$K$6)),'Chiller Calcs'!F67="P"),0,IF(AND(OR('IceBank Account'!$K$5=0,ISBLANK('IceBank Account'!$K$5)),'Chiller Calcs'!F67="I"),0,IF('IceBank Account'!$K$4="",0,IF(((IF(OR('IceBank Account'!B30="I",'IceBank Account'!B30="P"),'Chiller Calcs'!W67,IF('IceBank Account'!B30="F",0,"")))-'Chiller Calcs'!H67)&gt;('IceBank Account'!$K$4*'IceBank Account'!F30),('IceBank Account'!$K$4*'IceBank Account'!F30),(IF(OR('IceBank Account'!B30="I",'IceBank Account'!B30="P"),'Chiller Calcs'!W67,IF('IceBank Account'!B30="F",0,"")))-'Chiller Calcs'!H67))))</f>
        <v>0</v>
      </c>
      <c r="M67" s="61">
        <f t="shared" si="18"/>
        <v>0</v>
      </c>
      <c r="N67" s="61">
        <f t="shared" si="19"/>
        <v>0</v>
      </c>
      <c r="O67" s="61">
        <f t="shared" si="20"/>
        <v>0</v>
      </c>
      <c r="P67" s="61"/>
      <c r="Q67" s="62">
        <f>IF(OR(AND(OR('IceBank Account'!G30=0,ISBLANK('IceBank Account'!G30)),'IceBank Account'!B30="P"),AND(OR('IceBank Account'!G30=0,ISBLANK('IceBank Account'!G30)),'IceBank Account'!B30="I"),(OR('IceBank Account'!$P$4=0,ISBLANK('IceBank Account'!$P$4))),'IceBank Account'!C30=0),0,
IF('IceBank Account'!B30="F",0,
IF('IceBank Account'!C30-'IceBank Account'!$U$4*'IceBank Account'!H30&gt;'IceBank Account'!$P$4*'IceBank Account'!G30,'IceBank Account'!$P$4*'IceBank Account'!G30,'IceBank Account'!C30-('IceBank Account'!$U$4*'IceBank Account'!H30))))</f>
        <v>0</v>
      </c>
      <c r="R67" s="62">
        <f>IF(OR(AND(OR('IceBank Account'!H30=0,ISBLANK('IceBank Account'!H30)),'IceBank Account'!B30="P"),AND(OR('IceBank Account'!H30=0,ISBLANK('IceBank Account'!H30)),'IceBank Account'!B30="I"),(OR('IceBank Account'!$U$4=0,ISBLANK('IceBank Account'!$U$4))),'IceBank Account'!C30=0),0,
IF('IceBank Account'!B30="F",0,
IF('Chiller Calcs'!Q67&gt;'IceBank Account'!C30,0,IF('IceBank Account'!C30-'Chiller Calcs'!Q67&gt;'IceBank Account'!$U$4*'IceBank Account'!H30,'IceBank Account'!$U$4*'IceBank Account'!H30,'IceBank Account'!C30-'Chiller Calcs'!Q67))))</f>
        <v>0</v>
      </c>
      <c r="S67" s="46">
        <f t="shared" si="21"/>
        <v>0</v>
      </c>
      <c r="T67" s="47">
        <f>IF(F67="F",0,
      IF('IceBank Account'!$U$4&gt;S67,'IceBank Account'!$U$4,S67-'IceBank Account'!$U$4))</f>
        <v>0</v>
      </c>
      <c r="U67" s="46">
        <f t="shared" si="25"/>
        <v>0</v>
      </c>
      <c r="V67" s="46">
        <f t="shared" si="22"/>
        <v>0</v>
      </c>
      <c r="W67" s="65">
        <f>IF(IF(OR(ISBLANK('IceBank Account'!B30),ISBLANK('IceBank Account'!C30)),"",
IF('IceBank Account'!B30="F",'IceBank Account'!C30,
IF('IceBank Account'!B30="P",'IceBank Account'!C30-((IF(OR('IceBank Account'!G30=0,ISBLANK('IceBank Account'!G30)),0,'IceBank Account'!$P$4*'IceBank Account'!G30))+(IF(OR('IceBank Account'!H30=0,ISBLANK('IceBank Account'!H30)),0,'IceBank Account'!$U$4*'IceBank Account'!H30))),
                   IF('IceBank Account'!B30="I",IF('IceBank Account'!C30-(((IF(OR('IceBank Account'!G30=0,ISBLANK('IceBank Account'!G30)),0,'IceBank Account'!$P$4))*'IceBank Account'!G30)+((IF(OR('IceBank Account'!H30=0,ISBLANK('IceBank Account'!H30)),0,'IceBank Account'!$U$4))*'IceBank Account'!H30))&lt;0,0,
'IceBank Account'!C30-(((IF(OR('IceBank Account'!G30=0,ISBLANK('IceBank Account'!G30)),0,'IceBank Account'!$P$4*'IceBank Account'!G30))+(IF(OR('IceBank Account'!H30=0,ISBLANK('IceBank Account'!H30)),0,'IceBank Account'!$U$4*'IceBank Account'!H30))))),""))))&lt;0,0,
IF(OR(ISBLANK('IceBank Account'!B30),ISBLANK('IceBank Account'!C30)),"",IF('IceBank Account'!B30="F",'IceBank Account'!C30,IF('IceBank Account'!B30="P",'IceBank Account'!C30-((IF(OR('IceBank Account'!G30=0,ISBLANK('IceBank Account'!G30)),0,'IceBank Account'!$P$4*'IceBank Account'!G30))+(IF(OR('IceBank Account'!H30=0,ISBLANK('IceBank Account'!H30)),0,'IceBank Account'!$U$4*'IceBank Account'!H30))),IF('IceBank Account'!B30="I",IF('IceBank Account'!C30-(((IF(OR('IceBank Account'!G30=0,ISBLANK('IceBank Account'!G30)),0,'IceBank Account'!$P$4))*'IceBank Account'!G30)+((IF(OR('IceBank Account'!H30=0,ISBLANK('IceBank Account'!H30)),0,'IceBank Account'!$U$4))*'IceBank Account'!H30))&lt;0,0,'IceBank Account'!C30-(((IF(OR('IceBank Account'!G30=0,ISBLANK('IceBank Account'!G30)),0,'IceBank Account'!$P$4*'IceBank Account'!G30))+(IF(OR('IceBank Account'!H30=0,ISBLANK('IceBank Account'!H30)),0,'IceBank Account'!$U$4*'IceBank Account'!H30))))),"")))))</f>
        <v>0</v>
      </c>
      <c r="X67" s="65">
        <f t="shared" si="23"/>
        <v>0</v>
      </c>
      <c r="Z67" s="2">
        <f t="shared" si="24"/>
        <v>0</v>
      </c>
      <c r="AD67" s="46"/>
      <c r="AE67" s="46"/>
    </row>
    <row r="68" spans="5:31">
      <c r="E68" s="46">
        <f t="shared" si="17"/>
        <v>0</v>
      </c>
      <c r="F68" s="71" t="str">
        <f>'IceBank Account'!B31</f>
        <v>I</v>
      </c>
      <c r="G68" s="47">
        <v>24</v>
      </c>
      <c r="H68" s="61">
        <f>IF('IceBank Account'!B31="P",
                  IF('IceBank Account'!C31-(('IceBank Account'!$F$4*'IceBank Account'!E31)+(IF('IceBank Account'!$K$4="",0,('IceBank Account'!$K$4*'IceBank Account'!F31)))+('IceBank Account'!$P$4*'IceBank Account'!G31)+('IceBank Account'!$U$4*'IceBank Account'!H31))&lt;0,
                                 0,
                       'IceBank Account'!C31-(('IceBank Account'!$F$4*'IceBank Account'!E31)+(IF('IceBank Account'!$K$4="",0,('IceBank Account'!$K$4*'IceBank Account'!F31)))+('IceBank Account'!$P$4*'IceBank Account'!G31)+('IceBank Account'!$U$4*'IceBank Account'!H31))),
0)</f>
        <v>0</v>
      </c>
      <c r="I68" s="61">
        <f>IF('IceBank Account'!B31="F",'IceBank Account'!D31,0)</f>
        <v>0</v>
      </c>
      <c r="J68" s="61">
        <f>IF('IceBank Account'!B31="I",
                       IF((IF('IceBank Account'!$F$4="",0,'IceBank Account'!$F$4*'IceBank Account'!E31))+(IF('IceBank Account'!$K$4="",0,'IceBank Account'!$K$4*'IceBank Account'!F31))-('IceBank Account'!J31+'IceBank Account'!K31)&lt;0,
                                      0,
                             (IF('IceBank Account'!$F$4="",0,'IceBank Account'!$F$4*'IceBank Account'!E31))+((IF('IceBank Account'!$K$4="",0,'IceBank Account'!$K$4*'IceBank Account'!F31)))-('IceBank Account'!J31+'IceBank Account'!K31)),
0)</f>
        <v>96.158256880733944</v>
      </c>
      <c r="K68" s="61">
        <f>IF(AND(OR('IceBank Account'!$F$6=0,ISBLANK('IceBank Account'!$F$6)),'Chiller Calcs'!F68="P"),
     0,
IF(AND(OR('IceBank Account'!$F$5=0,ISBLANK('IceBank Account'!$F$5)),'Chiller Calcs'!F68="I"),
                  0,
              IF('IceBank Account'!$F$4="",0,IF(((IF(OR('IceBank Account'!B31="I",'IceBank Account'!B31="P"),
                              'Chiller Calcs'!W68,
              IF('IceBank Account'!B31="F",0,"")))-'Chiller Calcs'!H68)&gt;('IceBank Account'!$F$4*'IceBank Account'!E31),
                                   ('IceBank Account'!$F$4*'IceBank Account'!E31),
                       (IF(OR('IceBank Account'!B31="I",'IceBank Account'!B31="P"),
                                   'Chiller Calcs'!W68,
                        IF('IceBank Account'!B31="F",0,"")))-'Chiller Calcs'!H68))))</f>
        <v>0</v>
      </c>
      <c r="L68" s="61">
        <f>IF(AND(OR('IceBank Account'!$K$6=0,ISBLANK('IceBank Account'!$K$6)),'Chiller Calcs'!F68="P"),0,IF(AND(OR('IceBank Account'!$K$5=0,ISBLANK('IceBank Account'!$K$5)),'Chiller Calcs'!F68="I"),0,IF('IceBank Account'!$K$4="",0,IF(((IF(OR('IceBank Account'!B31="I",'IceBank Account'!B31="P"),'Chiller Calcs'!W68,IF('IceBank Account'!B31="F",0,"")))-'Chiller Calcs'!H68)&gt;('IceBank Account'!$K$4*'IceBank Account'!F31),('IceBank Account'!$K$4*'IceBank Account'!F31),(IF(OR('IceBank Account'!B31="I",'IceBank Account'!B31="P"),'Chiller Calcs'!W68,IF('IceBank Account'!B31="F",0,"")))-'Chiller Calcs'!H68))))</f>
        <v>0</v>
      </c>
      <c r="M68" s="61">
        <f t="shared" si="18"/>
        <v>0</v>
      </c>
      <c r="N68" s="61">
        <f t="shared" si="19"/>
        <v>0</v>
      </c>
      <c r="O68" s="61">
        <f t="shared" si="20"/>
        <v>0</v>
      </c>
      <c r="P68" s="61"/>
      <c r="Q68" s="62">
        <f>IF(OR(AND(OR('IceBank Account'!G31=0,ISBLANK('IceBank Account'!G31)),'IceBank Account'!B31="P"),AND(OR('IceBank Account'!G31=0,ISBLANK('IceBank Account'!G31)),'IceBank Account'!B31="I"),(OR('IceBank Account'!$P$4=0,ISBLANK('IceBank Account'!$P$4))),'IceBank Account'!C31=0),0,
IF('IceBank Account'!B31="F",0,
IF('IceBank Account'!C31-'IceBank Account'!$U$4*'IceBank Account'!H31&gt;'IceBank Account'!$P$4*'IceBank Account'!G31,'IceBank Account'!$P$4*'IceBank Account'!G31,'IceBank Account'!C31-('IceBank Account'!$U$4*'IceBank Account'!H31))))</f>
        <v>0</v>
      </c>
      <c r="R68" s="62">
        <f>IF(OR(AND(OR('IceBank Account'!H31=0,ISBLANK('IceBank Account'!H31)),'IceBank Account'!B31="P"),AND(OR('IceBank Account'!H31=0,ISBLANK('IceBank Account'!H31)),'IceBank Account'!B31="I"),(OR('IceBank Account'!$U$4=0,ISBLANK('IceBank Account'!$U$4))),'IceBank Account'!C31=0),0,
IF('IceBank Account'!B31="F",0,
IF('Chiller Calcs'!Q68&gt;'IceBank Account'!C31,0,IF('IceBank Account'!C31-'Chiller Calcs'!Q68&gt;'IceBank Account'!$U$4*'IceBank Account'!H31,'IceBank Account'!$U$4*'IceBank Account'!H31,'IceBank Account'!C31-'Chiller Calcs'!Q68))))</f>
        <v>0</v>
      </c>
      <c r="S68" s="46">
        <f t="shared" si="21"/>
        <v>0</v>
      </c>
      <c r="T68" s="47">
        <f>IF(F68="F",0,
      IF('IceBank Account'!$U$4&gt;S68,'IceBank Account'!$U$4,S68-'IceBank Account'!$U$4))</f>
        <v>0</v>
      </c>
      <c r="U68" s="46">
        <f t="shared" si="25"/>
        <v>0</v>
      </c>
      <c r="V68" s="46">
        <f t="shared" si="22"/>
        <v>0</v>
      </c>
      <c r="W68" s="65">
        <f>IF(IF(OR(ISBLANK('IceBank Account'!B31),ISBLANK('IceBank Account'!C31)),"",
IF('IceBank Account'!B31="F",'IceBank Account'!C31,
IF('IceBank Account'!B31="P",'IceBank Account'!C31-((IF(OR('IceBank Account'!G31=0,ISBLANK('IceBank Account'!G31)),0,'IceBank Account'!$P$4*'IceBank Account'!G31))+(IF(OR('IceBank Account'!H31=0,ISBLANK('IceBank Account'!H31)),0,'IceBank Account'!$U$4*'IceBank Account'!H31))),
                   IF('IceBank Account'!B31="I",IF('IceBank Account'!C31-(((IF(OR('IceBank Account'!G31=0,ISBLANK('IceBank Account'!G31)),0,'IceBank Account'!$P$4))*'IceBank Account'!G31)+((IF(OR('IceBank Account'!H31=0,ISBLANK('IceBank Account'!H31)),0,'IceBank Account'!$U$4))*'IceBank Account'!H31))&lt;0,0,
'IceBank Account'!C31-(((IF(OR('IceBank Account'!G31=0,ISBLANK('IceBank Account'!G31)),0,'IceBank Account'!$P$4*'IceBank Account'!G31))+(IF(OR('IceBank Account'!H31=0,ISBLANK('IceBank Account'!H31)),0,'IceBank Account'!$U$4*'IceBank Account'!H31))))),""))))&lt;0,0,
IF(OR(ISBLANK('IceBank Account'!B31),ISBLANK('IceBank Account'!C31)),"",IF('IceBank Account'!B31="F",'IceBank Account'!C31,IF('IceBank Account'!B31="P",'IceBank Account'!C31-((IF(OR('IceBank Account'!G31=0,ISBLANK('IceBank Account'!G31)),0,'IceBank Account'!$P$4*'IceBank Account'!G31))+(IF(OR('IceBank Account'!H31=0,ISBLANK('IceBank Account'!H31)),0,'IceBank Account'!$U$4*'IceBank Account'!H31))),IF('IceBank Account'!B31="I",IF('IceBank Account'!C31-(((IF(OR('IceBank Account'!G31=0,ISBLANK('IceBank Account'!G31)),0,'IceBank Account'!$P$4))*'IceBank Account'!G31)+((IF(OR('IceBank Account'!H31=0,ISBLANK('IceBank Account'!H31)),0,'IceBank Account'!$U$4))*'IceBank Account'!H31))&lt;0,0,'IceBank Account'!C31-(((IF(OR('IceBank Account'!G31=0,ISBLANK('IceBank Account'!G31)),0,'IceBank Account'!$P$4*'IceBank Account'!G31))+(IF(OR('IceBank Account'!H31=0,ISBLANK('IceBank Account'!H31)),0,'IceBank Account'!$U$4*'IceBank Account'!H31))))),"")))))</f>
        <v>0</v>
      </c>
      <c r="X68" s="65">
        <f t="shared" si="23"/>
        <v>0</v>
      </c>
      <c r="Z68" s="2">
        <f t="shared" si="24"/>
        <v>0</v>
      </c>
      <c r="AD68" s="46"/>
      <c r="AE68" s="46"/>
    </row>
    <row r="69" spans="5:31">
      <c r="H69" s="47">
        <f>SUM(H45:H68)</f>
        <v>576.94954128440361</v>
      </c>
      <c r="I69" s="47">
        <f>SUM(I45:I68)</f>
        <v>0</v>
      </c>
      <c r="J69" s="47">
        <f>SUM(J45:J68)</f>
        <v>576.94954128440361</v>
      </c>
      <c r="N69" s="97"/>
      <c r="O69" s="97"/>
      <c r="Q69" s="46">
        <f>SUM(Q45:Q68)</f>
        <v>0</v>
      </c>
      <c r="R69" s="46">
        <f>SUM(R45:R68)</f>
        <v>0</v>
      </c>
      <c r="X69" s="46">
        <f>SUM(X45:X68)</f>
        <v>576.94954128440361</v>
      </c>
    </row>
    <row r="72" spans="5:31">
      <c r="T72" s="46"/>
    </row>
  </sheetData>
  <sheetProtection password="C7E8" sheet="1" objects="1" scenarios="1"/>
  <conditionalFormatting sqref="E5:E28">
    <cfRule type="expression" dxfId="17" priority="5">
      <formula>AND($E$33&gt;E5,B5&lt;&gt;"F")</formula>
    </cfRule>
  </conditionalFormatting>
  <conditionalFormatting sqref="R5:R28">
    <cfRule type="expression" dxfId="16" priority="4">
      <formula>AND($R$33&gt;R5,B5&lt;&gt;"F")</formula>
    </cfRule>
  </conditionalFormatting>
  <conditionalFormatting sqref="X5:X28">
    <cfRule type="expression" dxfId="15" priority="3">
      <formula>AND($X$33&gt;X5,B5&lt;&gt;"F")</formula>
    </cfRule>
  </conditionalFormatting>
  <conditionalFormatting sqref="AD5:AD28">
    <cfRule type="expression" dxfId="14" priority="2">
      <formula>AND($AD$33&gt;AD5,B5&lt;&gt;"F")</formula>
    </cfRule>
  </conditionalFormatting>
  <conditionalFormatting sqref="AJ5:AJ28">
    <cfRule type="expression" dxfId="13" priority="1">
      <formula>AND($AJ$33&gt;AJ5,B5&lt;&gt;"F")</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30"/>
  <sheetViews>
    <sheetView showGridLines="0" zoomScale="80" zoomScaleNormal="80" workbookViewId="0">
      <selection activeCell="I8" sqref="I8"/>
    </sheetView>
  </sheetViews>
  <sheetFormatPr defaultRowHeight="14.5"/>
  <cols>
    <col min="1" max="1" width="45.54296875" customWidth="1"/>
    <col min="2" max="2" width="21.54296875" customWidth="1"/>
    <col min="3" max="4" width="17" customWidth="1"/>
    <col min="5" max="5" width="9.1796875" customWidth="1"/>
    <col min="6" max="6" width="25" customWidth="1"/>
    <col min="7" max="7" width="15.81640625" customWidth="1"/>
    <col min="8" max="8" width="23.453125" customWidth="1"/>
    <col min="9" max="9" width="17.81640625" customWidth="1"/>
  </cols>
  <sheetData>
    <row r="1" spans="1:20">
      <c r="A1" s="175" t="s">
        <v>291</v>
      </c>
    </row>
    <row r="2" spans="1:20">
      <c r="A2" t="s">
        <v>334</v>
      </c>
    </row>
    <row r="3" spans="1:20">
      <c r="T3" s="249" t="s">
        <v>147</v>
      </c>
    </row>
    <row r="4" spans="1:20" ht="15" thickBot="1">
      <c r="A4" s="176" t="s">
        <v>144</v>
      </c>
      <c r="E4" s="177"/>
      <c r="F4" s="176" t="s">
        <v>105</v>
      </c>
    </row>
    <row r="5" spans="1:20">
      <c r="A5" s="340" t="s">
        <v>270</v>
      </c>
      <c r="B5" s="307"/>
      <c r="E5" s="177"/>
      <c r="F5" s="240" t="s">
        <v>145</v>
      </c>
      <c r="G5" s="241"/>
      <c r="H5" s="241"/>
      <c r="I5" s="242">
        <f>PeakLoad</f>
        <v>250</v>
      </c>
    </row>
    <row r="6" spans="1:20">
      <c r="A6" s="178" t="s">
        <v>289</v>
      </c>
      <c r="B6" s="335" t="s">
        <v>282</v>
      </c>
      <c r="E6" s="177"/>
      <c r="F6" s="243" t="s">
        <v>146</v>
      </c>
      <c r="G6" s="239"/>
      <c r="H6" s="239"/>
      <c r="I6" s="244">
        <f>B13</f>
        <v>250</v>
      </c>
    </row>
    <row r="7" spans="1:20">
      <c r="A7" s="337" t="s">
        <v>290</v>
      </c>
      <c r="B7" s="338" t="s">
        <v>283</v>
      </c>
      <c r="E7" s="177"/>
      <c r="F7" s="243" t="str">
        <f>"Total Costs, Conventional Chiller &amp; "&amp;B6&amp;" rate"</f>
        <v>Total Costs, Conventional Chiller &amp; GSLD1 rate</v>
      </c>
      <c r="G7" s="239"/>
      <c r="H7" s="239"/>
      <c r="I7" s="353">
        <f>VLOOKUP(B6,RatesTable,2)</f>
        <v>47315.673504000013</v>
      </c>
    </row>
    <row r="8" spans="1:20">
      <c r="A8" s="336" t="s">
        <v>106</v>
      </c>
      <c r="B8" s="179"/>
      <c r="E8" s="177"/>
      <c r="F8" s="243" t="str">
        <f>"Total Costs, Ice-Based Plant &amp; "&amp;B7&amp;" rate"</f>
        <v>Total Costs, Ice-Based Plant &amp; GSLD1-SDTR rate</v>
      </c>
      <c r="G8" s="239"/>
      <c r="H8" s="239"/>
      <c r="I8" s="353">
        <f>VLOOKUP(B7,RatesTable,3)</f>
        <v>33264.89761252427</v>
      </c>
    </row>
    <row r="9" spans="1:20" ht="15" thickBot="1">
      <c r="A9" s="178" t="s">
        <v>107</v>
      </c>
      <c r="B9" s="179">
        <f>MAX('IceBank Account'!$C$8:$C$31)</f>
        <v>250</v>
      </c>
      <c r="C9" t="s">
        <v>139</v>
      </c>
      <c r="E9" s="185"/>
      <c r="F9" s="354" t="s">
        <v>180</v>
      </c>
      <c r="G9" s="355"/>
      <c r="H9" s="355"/>
      <c r="I9" s="356">
        <f>I7-I8</f>
        <v>14050.775891475743</v>
      </c>
    </row>
    <row r="10" spans="1:20">
      <c r="A10" s="309" t="s">
        <v>331</v>
      </c>
      <c r="B10" s="179" t="s">
        <v>272</v>
      </c>
      <c r="E10" s="185"/>
      <c r="F10" s="272"/>
      <c r="G10" s="273"/>
      <c r="H10" s="272"/>
      <c r="I10" s="273"/>
    </row>
    <row r="11" spans="1:20" ht="15" thickBot="1">
      <c r="A11" s="286" t="s">
        <v>342</v>
      </c>
      <c r="B11" s="179" t="s">
        <v>344</v>
      </c>
      <c r="E11" s="189"/>
    </row>
    <row r="12" spans="1:20">
      <c r="A12" s="309" t="s">
        <v>343</v>
      </c>
      <c r="B12" s="179" t="s">
        <v>100</v>
      </c>
      <c r="C12" s="191" t="s">
        <v>345</v>
      </c>
      <c r="E12" s="189"/>
      <c r="F12" s="395" t="str">
        <f>"Scenario 1: "&amp;PeakLoad&amp;"-ton chiller plant"</f>
        <v>Scenario 1: 250-ton chiller plant</v>
      </c>
      <c r="G12" s="396"/>
      <c r="H12" s="395" t="str">
        <f>"Scenario 2: "&amp;ROUNDUP(B13,0)&amp;" tons of chiller, "&amp;'IceBank Account'!Q33&amp;" IceBanks"</f>
        <v>Scenario 2: 250 tons of chiller, 4 IceBanks</v>
      </c>
      <c r="I12" s="396"/>
    </row>
    <row r="13" spans="1:20">
      <c r="A13" s="286" t="s">
        <v>346</v>
      </c>
      <c r="B13" s="179">
        <v>250</v>
      </c>
      <c r="E13" s="189"/>
      <c r="F13" s="186"/>
      <c r="G13" s="187"/>
      <c r="H13" s="186"/>
      <c r="I13" s="187"/>
    </row>
    <row r="14" spans="1:20">
      <c r="A14" s="178" t="s">
        <v>142</v>
      </c>
      <c r="B14" s="246">
        <v>9</v>
      </c>
      <c r="E14" s="193"/>
      <c r="F14" s="186" t="s">
        <v>109</v>
      </c>
      <c r="G14" s="187"/>
      <c r="H14" s="186" t="s">
        <v>109</v>
      </c>
      <c r="I14" s="187"/>
    </row>
    <row r="15" spans="1:20">
      <c r="A15" s="178" t="s">
        <v>185</v>
      </c>
      <c r="B15" s="275">
        <v>0</v>
      </c>
      <c r="E15" s="193"/>
      <c r="F15" s="186" t="s">
        <v>110</v>
      </c>
      <c r="G15" s="190">
        <f>PeakLoad*B24</f>
        <v>125000</v>
      </c>
      <c r="H15" s="186" t="s">
        <v>110</v>
      </c>
      <c r="I15" s="190">
        <f>('IceBank Account'!P4*B24)+((B13-'IceBank Account'!P4)*B25)</f>
        <v>137500</v>
      </c>
    </row>
    <row r="16" spans="1:20">
      <c r="A16" s="178" t="s">
        <v>197</v>
      </c>
      <c r="B16" s="275">
        <v>0.5</v>
      </c>
      <c r="C16" s="301" t="s">
        <v>231</v>
      </c>
      <c r="E16" s="197"/>
      <c r="F16" s="186" t="s">
        <v>112</v>
      </c>
      <c r="G16" s="190">
        <v>0</v>
      </c>
      <c r="H16" s="186" t="s">
        <v>112</v>
      </c>
      <c r="I16" s="190">
        <f>'IceBank Account'!Q33*B26</f>
        <v>56000</v>
      </c>
    </row>
    <row r="17" spans="1:9">
      <c r="A17" s="178" t="s">
        <v>143</v>
      </c>
      <c r="B17" s="180">
        <v>1.1000000000000001</v>
      </c>
      <c r="C17" s="191"/>
      <c r="E17" s="177"/>
      <c r="F17" s="186" t="s">
        <v>113</v>
      </c>
      <c r="G17" s="190">
        <v>0</v>
      </c>
      <c r="H17" s="186" t="s">
        <v>113</v>
      </c>
      <c r="I17" s="190">
        <f>PeakLoad*B27</f>
        <v>30000</v>
      </c>
    </row>
    <row r="18" spans="1:9">
      <c r="A18" s="178" t="s">
        <v>137</v>
      </c>
      <c r="B18" s="180">
        <v>1.1499999999999999</v>
      </c>
      <c r="E18" s="177"/>
      <c r="F18" s="186"/>
      <c r="G18" s="190"/>
      <c r="H18" s="194" t="s">
        <v>148</v>
      </c>
      <c r="I18" s="190">
        <f>-PeakLoad*(B20+B21+B22)</f>
        <v>0</v>
      </c>
    </row>
    <row r="19" spans="1:9">
      <c r="A19" s="178" t="s">
        <v>138</v>
      </c>
      <c r="B19" s="180">
        <v>1.2</v>
      </c>
      <c r="D19" s="191"/>
      <c r="E19" s="177"/>
      <c r="F19" s="186"/>
      <c r="G19" s="190"/>
      <c r="H19" s="194" t="s">
        <v>141</v>
      </c>
      <c r="I19" s="285">
        <f>-B28</f>
        <v>0</v>
      </c>
    </row>
    <row r="20" spans="1:9">
      <c r="A20" s="178" t="s">
        <v>150</v>
      </c>
      <c r="B20" s="250">
        <v>0</v>
      </c>
      <c r="C20" s="191" t="s">
        <v>149</v>
      </c>
      <c r="E20" s="177"/>
      <c r="F20" s="186"/>
      <c r="G20" s="190"/>
      <c r="H20" s="194" t="s">
        <v>114</v>
      </c>
      <c r="I20" s="190">
        <f>B30</f>
        <v>125000</v>
      </c>
    </row>
    <row r="21" spans="1:9" ht="15" thickBot="1">
      <c r="A21" s="178" t="s">
        <v>151</v>
      </c>
      <c r="B21" s="250">
        <v>0</v>
      </c>
      <c r="C21" s="191" t="s">
        <v>158</v>
      </c>
      <c r="E21" s="177"/>
      <c r="F21" s="195" t="s">
        <v>115</v>
      </c>
      <c r="G21" s="196">
        <f>SUM(G15:G16)</f>
        <v>125000</v>
      </c>
      <c r="H21" s="195" t="s">
        <v>115</v>
      </c>
      <c r="I21" s="196">
        <f>SUM(I15:I20)</f>
        <v>348500</v>
      </c>
    </row>
    <row r="22" spans="1:9" ht="15" thickTop="1">
      <c r="A22" s="178" t="s">
        <v>152</v>
      </c>
      <c r="B22" s="251">
        <v>0</v>
      </c>
      <c r="C22" s="191" t="s">
        <v>159</v>
      </c>
      <c r="E22" s="177"/>
      <c r="F22" s="186"/>
      <c r="G22" s="187"/>
      <c r="H22" s="198"/>
      <c r="I22" s="199"/>
    </row>
    <row r="23" spans="1:9" ht="15.5">
      <c r="A23" s="181" t="s">
        <v>108</v>
      </c>
      <c r="B23" s="182"/>
      <c r="C23" s="191" t="s">
        <v>160</v>
      </c>
      <c r="F23" s="200" t="s">
        <v>116</v>
      </c>
      <c r="G23" s="201">
        <f>I21-G21</f>
        <v>223500</v>
      </c>
      <c r="H23" s="202"/>
      <c r="I23" s="203"/>
    </row>
    <row r="24" spans="1:9" ht="15" thickBot="1">
      <c r="A24" s="252" t="s">
        <v>153</v>
      </c>
      <c r="B24" s="184">
        <v>500</v>
      </c>
      <c r="F24" s="357" t="s">
        <v>179</v>
      </c>
      <c r="G24" s="358">
        <f>G23/I9</f>
        <v>15.906594890292991</v>
      </c>
      <c r="H24" s="202"/>
      <c r="I24" s="203"/>
    </row>
    <row r="25" spans="1:9">
      <c r="A25" s="252" t="s">
        <v>154</v>
      </c>
      <c r="B25" s="184">
        <v>550</v>
      </c>
    </row>
    <row r="26" spans="1:9">
      <c r="A26" s="252" t="s">
        <v>155</v>
      </c>
      <c r="B26" s="188">
        <v>14000</v>
      </c>
    </row>
    <row r="27" spans="1:9">
      <c r="A27" s="252" t="s">
        <v>156</v>
      </c>
      <c r="B27" s="184">
        <v>120</v>
      </c>
      <c r="C27" s="191" t="s">
        <v>111</v>
      </c>
    </row>
    <row r="28" spans="1:9">
      <c r="A28" s="183" t="s">
        <v>140</v>
      </c>
      <c r="B28" s="254">
        <f>600*MAX('IceBank Account'!$I$23:$I$25)*IF(B10="Air-cooled",1.11,0.6)</f>
        <v>0</v>
      </c>
      <c r="C28" s="191" t="s">
        <v>213</v>
      </c>
    </row>
    <row r="29" spans="1:9">
      <c r="A29" s="183" t="s">
        <v>210</v>
      </c>
      <c r="B29" s="291">
        <v>0.08</v>
      </c>
      <c r="D29" s="303"/>
    </row>
    <row r="30" spans="1:9" ht="15" thickBot="1">
      <c r="A30" s="253" t="s">
        <v>157</v>
      </c>
      <c r="B30" s="192">
        <f>500*PeakLoad</f>
        <v>125000</v>
      </c>
      <c r="C30" s="191" t="s">
        <v>136</v>
      </c>
    </row>
  </sheetData>
  <mergeCells count="2">
    <mergeCell ref="F12:G12"/>
    <mergeCell ref="H12:I12"/>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'Cover Page'!$A$94:$A$95</xm:f>
          </x14:formula1>
          <xm:sqref>B11</xm:sqref>
        </x14:dataValidation>
        <x14:dataValidation type="list" allowBlank="1" showInputMessage="1" showErrorMessage="1">
          <x14:formula1>
            <xm:f>'Cover Page'!$A$103:$A$111</xm:f>
          </x14:formula1>
          <xm:sqref>B6:B7</xm:sqref>
        </x14:dataValidation>
        <x14:dataValidation type="list" allowBlank="1" showInputMessage="1" showErrorMessage="1">
          <x14:formula1>
            <xm:f>'Cover Page'!$E$94:$E$95</xm:f>
          </x14:formula1>
          <xm:sqref>B10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pageSetUpPr autoPageBreaks="0" fitToPage="1"/>
  </sheetPr>
  <dimension ref="A1:AE59"/>
  <sheetViews>
    <sheetView zoomScale="70" zoomScaleNormal="70" workbookViewId="0">
      <selection activeCell="B29" sqref="B29"/>
    </sheetView>
  </sheetViews>
  <sheetFormatPr defaultColWidth="9.1796875" defaultRowHeight="14.5"/>
  <cols>
    <col min="1" max="1" width="5.453125" style="59" customWidth="1"/>
    <col min="2" max="2" width="7.26953125" style="59" customWidth="1"/>
    <col min="3" max="3" width="8" style="60" customWidth="1"/>
    <col min="4" max="4" width="9.1796875" style="60" customWidth="1"/>
    <col min="5" max="6" width="8.7265625" style="60" customWidth="1"/>
    <col min="7" max="9" width="9.54296875" style="56" customWidth="1"/>
    <col min="10" max="10" width="11.1796875" style="56" customWidth="1"/>
    <col min="11" max="11" width="11.26953125" style="56" customWidth="1"/>
    <col min="12" max="12" width="10.7265625" style="56" customWidth="1"/>
    <col min="13" max="13" width="9.1796875" style="56"/>
    <col min="14" max="14" width="10.54296875" style="56" customWidth="1"/>
    <col min="15" max="15" width="10" style="56" customWidth="1"/>
    <col min="16" max="16" width="10.453125" style="56" customWidth="1"/>
    <col min="17" max="17" width="9.54296875" style="56" customWidth="1"/>
    <col min="18" max="19" width="9.1796875" style="56"/>
    <col min="20" max="20" width="8.81640625" style="56" customWidth="1"/>
    <col min="21" max="21" width="11" style="56" customWidth="1"/>
    <col min="22" max="22" width="10.54296875" style="56" customWidth="1"/>
    <col min="23" max="23" width="11.81640625" style="56" customWidth="1"/>
    <col min="24" max="28" width="9.1796875" style="56"/>
    <col min="29" max="29" width="9.26953125" style="56" bestFit="1" customWidth="1"/>
    <col min="30" max="16384" width="9.1796875" style="56"/>
  </cols>
  <sheetData>
    <row r="1" spans="1:31" ht="52.5" customHeight="1" thickTop="1" thickBot="1">
      <c r="A1" s="409" t="s">
        <v>89</v>
      </c>
      <c r="B1" s="410"/>
      <c r="C1" s="410"/>
      <c r="D1" s="410"/>
      <c r="E1" s="410"/>
      <c r="F1" s="410"/>
      <c r="G1" s="410"/>
      <c r="H1" s="410"/>
      <c r="I1" s="410"/>
      <c r="J1" s="410"/>
      <c r="K1" s="410"/>
      <c r="L1" s="410"/>
      <c r="M1" s="410"/>
      <c r="N1" s="410"/>
      <c r="O1" s="410"/>
      <c r="P1" s="410"/>
      <c r="Q1" s="410"/>
      <c r="R1" s="410"/>
      <c r="S1" s="410"/>
      <c r="T1" s="410"/>
      <c r="U1" s="410"/>
      <c r="V1" s="410"/>
      <c r="W1" s="411"/>
      <c r="X1" s="155">
        <v>0</v>
      </c>
      <c r="Y1" s="155">
        <v>0</v>
      </c>
      <c r="Z1" s="155">
        <v>0</v>
      </c>
      <c r="AA1" s="155">
        <v>0</v>
      </c>
    </row>
    <row r="2" spans="1:31" ht="24" customHeight="1" thickTop="1">
      <c r="A2" s="423"/>
      <c r="B2" s="424"/>
      <c r="C2" s="424"/>
      <c r="D2" s="424"/>
      <c r="E2" s="424"/>
      <c r="F2" s="424"/>
      <c r="G2" s="424"/>
      <c r="H2" s="424"/>
      <c r="I2" s="424"/>
      <c r="J2" s="424"/>
      <c r="K2" s="424"/>
      <c r="L2" s="424"/>
      <c r="M2" s="424"/>
      <c r="N2" s="424"/>
      <c r="O2" s="424"/>
      <c r="P2" s="424"/>
      <c r="Q2" s="424"/>
      <c r="R2" s="424"/>
      <c r="S2" s="424"/>
      <c r="T2" s="424"/>
      <c r="U2" s="424"/>
      <c r="V2" s="424"/>
      <c r="W2" s="425"/>
    </row>
    <row r="3" spans="1:31" ht="42" customHeight="1" thickBot="1">
      <c r="A3" s="426"/>
      <c r="B3" s="427"/>
      <c r="C3" s="427"/>
      <c r="D3" s="427"/>
      <c r="E3" s="427"/>
      <c r="F3" s="427"/>
      <c r="G3" s="427"/>
      <c r="H3" s="427"/>
      <c r="I3" s="427"/>
      <c r="J3" s="427"/>
      <c r="K3" s="427"/>
      <c r="L3" s="427"/>
      <c r="M3" s="427"/>
      <c r="N3" s="427"/>
      <c r="O3" s="427"/>
      <c r="P3" s="424"/>
      <c r="Q3" s="427"/>
      <c r="R3" s="427"/>
      <c r="S3" s="427"/>
      <c r="T3" s="427"/>
      <c r="U3" s="424"/>
      <c r="V3" s="427"/>
      <c r="W3" s="428"/>
    </row>
    <row r="4" spans="1:31" ht="19" thickTop="1" thickBot="1">
      <c r="A4" s="404" t="s">
        <v>40</v>
      </c>
      <c r="B4" s="401"/>
      <c r="C4" s="401"/>
      <c r="D4" s="401"/>
      <c r="E4" s="405"/>
      <c r="F4" s="163">
        <f>'Chiller Calcs'!W39</f>
        <v>147.93577981651376</v>
      </c>
      <c r="G4" s="403" t="s">
        <v>41</v>
      </c>
      <c r="H4" s="401"/>
      <c r="I4" s="401"/>
      <c r="J4" s="405"/>
      <c r="K4" s="119" t="str">
        <f>'Chiller Calcs'!Y39</f>
        <v/>
      </c>
      <c r="L4" s="403" t="s">
        <v>87</v>
      </c>
      <c r="M4" s="401"/>
      <c r="N4" s="401"/>
      <c r="O4" s="402"/>
      <c r="P4" s="120">
        <v>0</v>
      </c>
      <c r="Q4" s="400" t="s">
        <v>88</v>
      </c>
      <c r="R4" s="401"/>
      <c r="S4" s="401"/>
      <c r="T4" s="402"/>
      <c r="U4" s="120">
        <v>0</v>
      </c>
      <c r="W4" s="154"/>
    </row>
    <row r="5" spans="1:31" ht="16.5" thickTop="1" thickBot="1">
      <c r="A5" s="466" t="s">
        <v>82</v>
      </c>
      <c r="B5" s="467"/>
      <c r="C5" s="467"/>
      <c r="D5" s="467"/>
      <c r="E5" s="468"/>
      <c r="F5" s="148">
        <v>0.65</v>
      </c>
      <c r="G5" s="472" t="s">
        <v>84</v>
      </c>
      <c r="H5" s="407"/>
      <c r="I5" s="407"/>
      <c r="J5" s="473"/>
      <c r="K5" s="148">
        <v>0</v>
      </c>
      <c r="L5" s="472" t="s">
        <v>86</v>
      </c>
      <c r="M5" s="407"/>
      <c r="N5" s="407"/>
      <c r="O5" s="408"/>
      <c r="P5" s="150">
        <v>1</v>
      </c>
      <c r="Q5" s="406" t="s">
        <v>86</v>
      </c>
      <c r="R5" s="407"/>
      <c r="S5" s="407"/>
      <c r="T5" s="408"/>
      <c r="U5" s="150">
        <v>1</v>
      </c>
      <c r="V5" s="449" t="s">
        <v>96</v>
      </c>
      <c r="W5" s="450"/>
      <c r="Z5" s="172" t="s">
        <v>100</v>
      </c>
    </row>
    <row r="6" spans="1:31" ht="16.5" thickTop="1" thickBot="1">
      <c r="A6" s="469" t="s">
        <v>83</v>
      </c>
      <c r="B6" s="470"/>
      <c r="C6" s="470"/>
      <c r="D6" s="470"/>
      <c r="E6" s="471"/>
      <c r="F6" s="149">
        <v>1</v>
      </c>
      <c r="G6" s="474" t="s">
        <v>83</v>
      </c>
      <c r="H6" s="398"/>
      <c r="I6" s="398"/>
      <c r="J6" s="475"/>
      <c r="K6" s="149">
        <v>0</v>
      </c>
      <c r="L6" s="474" t="s">
        <v>85</v>
      </c>
      <c r="M6" s="398"/>
      <c r="N6" s="398"/>
      <c r="O6" s="399"/>
      <c r="P6" s="151">
        <v>1</v>
      </c>
      <c r="Q6" s="397" t="s">
        <v>85</v>
      </c>
      <c r="R6" s="398"/>
      <c r="S6" s="398"/>
      <c r="T6" s="399"/>
      <c r="U6" s="151">
        <v>1</v>
      </c>
      <c r="V6" s="153" t="s">
        <v>81</v>
      </c>
      <c r="W6" s="118">
        <f>'Cover Page'!B91</f>
        <v>142</v>
      </c>
      <c r="X6" s="172" t="s">
        <v>225</v>
      </c>
      <c r="Y6" s="58"/>
    </row>
    <row r="7" spans="1:31" ht="75" customHeight="1" thickTop="1" thickBot="1">
      <c r="A7" s="85" t="s">
        <v>10</v>
      </c>
      <c r="B7" s="86" t="s">
        <v>42</v>
      </c>
      <c r="C7" s="87" t="s">
        <v>54</v>
      </c>
      <c r="D7" s="88" t="s">
        <v>63</v>
      </c>
      <c r="E7" s="107" t="s">
        <v>29</v>
      </c>
      <c r="F7" s="108" t="s">
        <v>30</v>
      </c>
      <c r="G7" s="98" t="s">
        <v>27</v>
      </c>
      <c r="H7" s="99" t="s">
        <v>28</v>
      </c>
      <c r="I7" s="100" t="s">
        <v>78</v>
      </c>
      <c r="J7" s="101" t="s">
        <v>55</v>
      </c>
      <c r="K7" s="102" t="s">
        <v>56</v>
      </c>
      <c r="L7" s="73"/>
      <c r="M7" s="74"/>
      <c r="N7" s="75"/>
      <c r="O7" s="75"/>
      <c r="P7" s="75"/>
      <c r="Q7" s="75"/>
      <c r="R7" s="75"/>
      <c r="S7" s="75"/>
      <c r="T7" s="74"/>
      <c r="U7" s="74"/>
      <c r="V7" s="75"/>
      <c r="W7" s="76">
        <v>90</v>
      </c>
      <c r="X7" s="164" t="s">
        <v>99</v>
      </c>
      <c r="Y7" s="165"/>
      <c r="Z7" s="54"/>
      <c r="AA7" s="54"/>
      <c r="AB7" s="54"/>
      <c r="AC7" s="54"/>
    </row>
    <row r="8" spans="1:31" ht="15" thickTop="1">
      <c r="A8" s="89">
        <v>1</v>
      </c>
      <c r="B8" s="104" t="s">
        <v>12</v>
      </c>
      <c r="C8" s="359">
        <f>'Cover Page'!K28</f>
        <v>0</v>
      </c>
      <c r="D8" s="90">
        <f>'Chiller Calcs'!W45</f>
        <v>0</v>
      </c>
      <c r="E8" s="130">
        <v>0.65</v>
      </c>
      <c r="F8" s="131">
        <v>0</v>
      </c>
      <c r="G8" s="131">
        <v>1</v>
      </c>
      <c r="H8" s="132">
        <v>1</v>
      </c>
      <c r="I8" s="139">
        <f>IF('Chiller Calcs'!X45&gt;0,'Chiller Calcs'!X45,IF('Chiller Calcs'!I45&gt;0,'Chiller Calcs'!I45,0))</f>
        <v>0</v>
      </c>
      <c r="J8" s="140">
        <f>'Chiller Calcs'!N45</f>
        <v>0</v>
      </c>
      <c r="K8" s="141">
        <f>'Chiller Calcs'!O45</f>
        <v>0</v>
      </c>
      <c r="L8" s="77"/>
      <c r="M8" s="67"/>
      <c r="O8" s="72"/>
      <c r="P8" s="72"/>
      <c r="Q8" s="72"/>
      <c r="R8" s="72"/>
      <c r="S8" s="72"/>
      <c r="T8" s="67"/>
      <c r="U8" s="67"/>
      <c r="V8" s="72"/>
      <c r="W8" s="78"/>
      <c r="X8" s="166">
        <f>'Chiller Calcs'!Z45</f>
        <v>0</v>
      </c>
      <c r="Y8" s="247"/>
      <c r="Z8" s="54"/>
      <c r="AA8" s="54"/>
      <c r="AB8" s="167"/>
      <c r="AC8" s="54"/>
    </row>
    <row r="9" spans="1:31">
      <c r="A9" s="91">
        <v>2</v>
      </c>
      <c r="B9" s="105" t="s">
        <v>12</v>
      </c>
      <c r="C9" s="359">
        <f>'Cover Page'!K29</f>
        <v>0</v>
      </c>
      <c r="D9" s="92">
        <f>'Chiller Calcs'!W46</f>
        <v>0</v>
      </c>
      <c r="E9" s="133">
        <v>0.65</v>
      </c>
      <c r="F9" s="134">
        <v>0</v>
      </c>
      <c r="G9" s="134">
        <v>1</v>
      </c>
      <c r="H9" s="135">
        <v>1</v>
      </c>
      <c r="I9" s="142">
        <f>IF('Chiller Calcs'!X46&gt;0,'Chiller Calcs'!X46,IF('Chiller Calcs'!I46&gt;0,'Chiller Calcs'!I46,0))</f>
        <v>0</v>
      </c>
      <c r="J9" s="143">
        <f>'Chiller Calcs'!N46</f>
        <v>0</v>
      </c>
      <c r="K9" s="144">
        <f>'Chiller Calcs'!O46</f>
        <v>0</v>
      </c>
      <c r="L9" s="77"/>
      <c r="M9" s="67"/>
      <c r="O9" s="72"/>
      <c r="P9" s="72"/>
      <c r="Q9" s="72"/>
      <c r="R9" s="72"/>
      <c r="S9" s="72"/>
      <c r="T9" s="67"/>
      <c r="U9" s="67"/>
      <c r="V9" s="72"/>
      <c r="W9" s="78"/>
      <c r="X9" s="166">
        <f>'Chiller Calcs'!Z46</f>
        <v>0</v>
      </c>
      <c r="Y9" s="247"/>
      <c r="Z9" s="54"/>
      <c r="AA9" s="54"/>
      <c r="AB9" s="168" t="s">
        <v>49</v>
      </c>
      <c r="AC9" s="169">
        <f>SUM('Chiller Calcs'!J45:J68)</f>
        <v>576.94954128440361</v>
      </c>
      <c r="AE9" s="172" t="s">
        <v>100</v>
      </c>
    </row>
    <row r="10" spans="1:31">
      <c r="A10" s="91">
        <v>3</v>
      </c>
      <c r="B10" s="105" t="s">
        <v>12</v>
      </c>
      <c r="C10" s="359">
        <f>'Cover Page'!K30</f>
        <v>0</v>
      </c>
      <c r="D10" s="92">
        <f>'Chiller Calcs'!W47</f>
        <v>0</v>
      </c>
      <c r="E10" s="133">
        <v>0.65</v>
      </c>
      <c r="F10" s="134">
        <v>0</v>
      </c>
      <c r="G10" s="134">
        <v>1</v>
      </c>
      <c r="H10" s="135">
        <v>1</v>
      </c>
      <c r="I10" s="142">
        <f>IF('Chiller Calcs'!X47&gt;0,'Chiller Calcs'!X47,IF('Chiller Calcs'!I47&gt;0,'Chiller Calcs'!I47,0))</f>
        <v>0</v>
      </c>
      <c r="J10" s="143">
        <f>'Chiller Calcs'!N47</f>
        <v>0</v>
      </c>
      <c r="K10" s="144">
        <f>'Chiller Calcs'!O47</f>
        <v>0</v>
      </c>
      <c r="L10" s="77"/>
      <c r="M10" s="67"/>
      <c r="O10" s="72"/>
      <c r="P10" s="72"/>
      <c r="Q10" s="72"/>
      <c r="R10" s="72"/>
      <c r="S10" s="72"/>
      <c r="T10" s="67"/>
      <c r="U10" s="67"/>
      <c r="V10" s="72"/>
      <c r="W10" s="78"/>
      <c r="X10" s="166">
        <f>'Chiller Calcs'!Z47</f>
        <v>0</v>
      </c>
      <c r="Y10" s="247"/>
      <c r="Z10" s="54"/>
      <c r="AA10" s="54"/>
      <c r="AB10" s="168" t="s">
        <v>50</v>
      </c>
      <c r="AC10" s="169">
        <f>SUM('Chiller Calcs'!H45:H68)+SUM('Chiller Calcs'!I45:I68)</f>
        <v>576.94954128440361</v>
      </c>
    </row>
    <row r="11" spans="1:31">
      <c r="A11" s="91">
        <v>4</v>
      </c>
      <c r="B11" s="105" t="s">
        <v>12</v>
      </c>
      <c r="C11" s="359">
        <f>'Cover Page'!K31</f>
        <v>0</v>
      </c>
      <c r="D11" s="92">
        <f>'Chiller Calcs'!W48</f>
        <v>0</v>
      </c>
      <c r="E11" s="133">
        <v>0.65</v>
      </c>
      <c r="F11" s="134">
        <v>0</v>
      </c>
      <c r="G11" s="134">
        <v>1</v>
      </c>
      <c r="H11" s="135">
        <v>1</v>
      </c>
      <c r="I11" s="142">
        <f>IF('Chiller Calcs'!X48&gt;0,'Chiller Calcs'!X48,IF('Chiller Calcs'!I48&gt;0,'Chiller Calcs'!I48,0))</f>
        <v>0</v>
      </c>
      <c r="J11" s="143">
        <f>'Chiller Calcs'!N48</f>
        <v>0</v>
      </c>
      <c r="K11" s="144">
        <f>'Chiller Calcs'!O48</f>
        <v>0</v>
      </c>
      <c r="L11" s="77"/>
      <c r="M11" s="67"/>
      <c r="O11" s="72"/>
      <c r="P11" s="72"/>
      <c r="Q11" s="72"/>
      <c r="R11" s="72"/>
      <c r="S11" s="72"/>
      <c r="T11" s="67"/>
      <c r="U11" s="67"/>
      <c r="V11" s="72"/>
      <c r="W11" s="78"/>
      <c r="X11" s="166">
        <f>'Chiller Calcs'!Z48</f>
        <v>0</v>
      </c>
      <c r="Y11" s="247"/>
      <c r="Z11" s="54"/>
      <c r="AA11" s="54"/>
      <c r="AB11" s="170" t="s">
        <v>102</v>
      </c>
      <c r="AC11" s="54"/>
    </row>
    <row r="12" spans="1:31">
      <c r="A12" s="91">
        <v>5</v>
      </c>
      <c r="B12" s="105" t="s">
        <v>103</v>
      </c>
      <c r="C12" s="359">
        <f>'Cover Page'!K32</f>
        <v>0</v>
      </c>
      <c r="D12" s="92">
        <f>'Chiller Calcs'!W49</f>
        <v>0</v>
      </c>
      <c r="E12" s="133">
        <v>1</v>
      </c>
      <c r="F12" s="134">
        <v>0</v>
      </c>
      <c r="G12" s="134">
        <v>1</v>
      </c>
      <c r="H12" s="135">
        <v>1</v>
      </c>
      <c r="I12" s="142">
        <f>IF('Chiller Calcs'!X49&gt;0,'Chiller Calcs'!X49,IF('Chiller Calcs'!I49&gt;0,'Chiller Calcs'!I49,0))</f>
        <v>0</v>
      </c>
      <c r="J12" s="143">
        <f>'Chiller Calcs'!N49</f>
        <v>0</v>
      </c>
      <c r="K12" s="144">
        <f>'Chiller Calcs'!O49</f>
        <v>0</v>
      </c>
      <c r="L12" s="77"/>
      <c r="M12" s="67"/>
      <c r="O12" s="72"/>
      <c r="P12" s="72"/>
      <c r="Q12" s="72"/>
      <c r="R12" s="72"/>
      <c r="S12" s="72"/>
      <c r="T12" s="67"/>
      <c r="U12" s="67"/>
      <c r="V12" s="72"/>
      <c r="W12" s="78"/>
      <c r="X12" s="166">
        <f>'Chiller Calcs'!Z49</f>
        <v>0</v>
      </c>
      <c r="Y12" s="247"/>
      <c r="Z12" s="54"/>
      <c r="AA12" s="54"/>
      <c r="AB12" s="170" t="s">
        <v>102</v>
      </c>
      <c r="AC12" s="54"/>
      <c r="AD12" s="172"/>
    </row>
    <row r="13" spans="1:31">
      <c r="A13" s="91">
        <v>6</v>
      </c>
      <c r="B13" s="105" t="s">
        <v>103</v>
      </c>
      <c r="C13" s="359">
        <f>'Cover Page'!K33</f>
        <v>0</v>
      </c>
      <c r="D13" s="92">
        <f>'Chiller Calcs'!W50</f>
        <v>0</v>
      </c>
      <c r="E13" s="133">
        <v>1</v>
      </c>
      <c r="F13" s="134">
        <v>0</v>
      </c>
      <c r="G13" s="134">
        <v>1</v>
      </c>
      <c r="H13" s="135">
        <v>1</v>
      </c>
      <c r="I13" s="142">
        <f>IF('Chiller Calcs'!X50&gt;0,'Chiller Calcs'!X50,IF('Chiller Calcs'!I50&gt;0,'Chiller Calcs'!I50,0))</f>
        <v>0</v>
      </c>
      <c r="J13" s="143">
        <f>'Chiller Calcs'!N50</f>
        <v>0</v>
      </c>
      <c r="K13" s="144">
        <f>'Chiller Calcs'!O50</f>
        <v>0</v>
      </c>
      <c r="L13" s="77"/>
      <c r="M13" s="67"/>
      <c r="O13" s="72"/>
      <c r="P13" s="72"/>
      <c r="Q13" s="72"/>
      <c r="R13" s="72"/>
      <c r="S13" s="72"/>
      <c r="T13" s="67"/>
      <c r="U13" s="67"/>
      <c r="V13" s="72"/>
      <c r="W13" s="78"/>
      <c r="X13" s="166">
        <f>'Chiller Calcs'!Z50</f>
        <v>0</v>
      </c>
      <c r="Y13" s="247"/>
      <c r="Z13" s="54"/>
      <c r="AA13" s="54"/>
      <c r="AB13" s="171"/>
      <c r="AC13" s="54"/>
    </row>
    <row r="14" spans="1:31">
      <c r="A14" s="91">
        <v>7</v>
      </c>
      <c r="B14" s="105" t="s">
        <v>103</v>
      </c>
      <c r="C14" s="359">
        <f>'Cover Page'!K34</f>
        <v>62.5</v>
      </c>
      <c r="D14" s="92">
        <f>'Chiller Calcs'!W51</f>
        <v>62.5</v>
      </c>
      <c r="E14" s="133">
        <v>1</v>
      </c>
      <c r="F14" s="134">
        <v>0</v>
      </c>
      <c r="G14" s="134">
        <v>1</v>
      </c>
      <c r="H14" s="135">
        <v>1</v>
      </c>
      <c r="I14" s="142">
        <f>IF('Chiller Calcs'!X51&gt;0,'Chiller Calcs'!X51,IF('Chiller Calcs'!I51&gt;0,'Chiller Calcs'!I51,0))</f>
        <v>0</v>
      </c>
      <c r="J14" s="143">
        <f>'Chiller Calcs'!N51</f>
        <v>62.5</v>
      </c>
      <c r="K14" s="144">
        <f>'Chiller Calcs'!O51</f>
        <v>0</v>
      </c>
      <c r="L14" s="77"/>
      <c r="M14" s="67"/>
      <c r="O14" s="72"/>
      <c r="P14" s="72"/>
      <c r="Q14" s="72"/>
      <c r="R14" s="72"/>
      <c r="S14" s="72"/>
      <c r="T14" s="67"/>
      <c r="U14" s="67"/>
      <c r="V14" s="72"/>
      <c r="W14" s="78"/>
      <c r="X14" s="166">
        <f>'Chiller Calcs'!Z51</f>
        <v>0</v>
      </c>
      <c r="Y14" s="247"/>
      <c r="Z14" s="54"/>
      <c r="AA14" s="54"/>
      <c r="AB14" s="171"/>
      <c r="AC14" s="54"/>
    </row>
    <row r="15" spans="1:31">
      <c r="A15" s="91">
        <v>8</v>
      </c>
      <c r="B15" s="105" t="s">
        <v>103</v>
      </c>
      <c r="C15" s="359">
        <f>'Cover Page'!K35</f>
        <v>112.5</v>
      </c>
      <c r="D15" s="92">
        <f>'Chiller Calcs'!W52</f>
        <v>112.5</v>
      </c>
      <c r="E15" s="133">
        <v>1</v>
      </c>
      <c r="F15" s="134">
        <v>0</v>
      </c>
      <c r="G15" s="134">
        <v>1</v>
      </c>
      <c r="H15" s="135">
        <v>1</v>
      </c>
      <c r="I15" s="142">
        <f>IF('Chiller Calcs'!X52&gt;0,'Chiller Calcs'!X52,IF('Chiller Calcs'!I52&gt;0,'Chiller Calcs'!I52,0))</f>
        <v>0</v>
      </c>
      <c r="J15" s="143">
        <f>'Chiller Calcs'!N52</f>
        <v>112.5</v>
      </c>
      <c r="K15" s="144">
        <f>'Chiller Calcs'!O52</f>
        <v>0</v>
      </c>
      <c r="L15" s="77"/>
      <c r="M15" s="67"/>
      <c r="O15" s="72"/>
      <c r="P15" s="72"/>
      <c r="Q15" s="72"/>
      <c r="R15" s="72"/>
      <c r="S15" s="72"/>
      <c r="T15" s="67"/>
      <c r="U15" s="67"/>
      <c r="V15" s="72"/>
      <c r="W15" s="78"/>
      <c r="X15" s="166">
        <f>'Chiller Calcs'!Z52</f>
        <v>0</v>
      </c>
      <c r="Y15" s="247"/>
      <c r="Z15" s="54"/>
      <c r="AA15" s="54"/>
      <c r="AB15" s="171"/>
      <c r="AC15" s="54"/>
    </row>
    <row r="16" spans="1:31">
      <c r="A16" s="91">
        <v>9</v>
      </c>
      <c r="B16" s="105" t="s">
        <v>103</v>
      </c>
      <c r="C16" s="359">
        <f>'Cover Page'!K36</f>
        <v>187.5</v>
      </c>
      <c r="D16" s="92">
        <f>'Chiller Calcs'!W53</f>
        <v>187.5</v>
      </c>
      <c r="E16" s="133">
        <v>1</v>
      </c>
      <c r="F16" s="134">
        <v>0</v>
      </c>
      <c r="G16" s="134">
        <v>1</v>
      </c>
      <c r="H16" s="135">
        <v>1</v>
      </c>
      <c r="I16" s="142">
        <f>IF('Chiller Calcs'!X53&gt;0,'Chiller Calcs'!X53,IF('Chiller Calcs'!I53&gt;0,'Chiller Calcs'!I53,0))</f>
        <v>39.564220183486242</v>
      </c>
      <c r="J16" s="143">
        <f>'Chiller Calcs'!N53</f>
        <v>147.93577981651376</v>
      </c>
      <c r="K16" s="144">
        <f>'Chiller Calcs'!O53</f>
        <v>0</v>
      </c>
      <c r="L16" s="77"/>
      <c r="M16" s="67"/>
      <c r="O16" s="72"/>
      <c r="P16" s="72"/>
      <c r="Q16" s="72"/>
      <c r="R16" s="72"/>
      <c r="S16" s="72"/>
      <c r="T16" s="67"/>
      <c r="U16" s="67"/>
      <c r="V16" s="72"/>
      <c r="W16" s="78"/>
      <c r="X16" s="166">
        <f>'Chiller Calcs'!Z53</f>
        <v>0</v>
      </c>
      <c r="Y16" s="247"/>
      <c r="Z16" s="54"/>
      <c r="AA16" s="54"/>
      <c r="AB16" s="171"/>
      <c r="AC16" s="54"/>
    </row>
    <row r="17" spans="1:29">
      <c r="A17" s="91">
        <v>10</v>
      </c>
      <c r="B17" s="105" t="s">
        <v>103</v>
      </c>
      <c r="C17" s="359">
        <f>'Cover Page'!K37</f>
        <v>225</v>
      </c>
      <c r="D17" s="92">
        <f>'Chiller Calcs'!W54</f>
        <v>225</v>
      </c>
      <c r="E17" s="133">
        <v>1</v>
      </c>
      <c r="F17" s="134">
        <v>0</v>
      </c>
      <c r="G17" s="134">
        <v>1</v>
      </c>
      <c r="H17" s="135">
        <v>1</v>
      </c>
      <c r="I17" s="142">
        <f>IF('Chiller Calcs'!X54&gt;0,'Chiller Calcs'!X54,IF('Chiller Calcs'!I54&gt;0,'Chiller Calcs'!I54,0))</f>
        <v>77.064220183486242</v>
      </c>
      <c r="J17" s="143">
        <f>'Chiller Calcs'!N54</f>
        <v>147.93577981651376</v>
      </c>
      <c r="K17" s="144">
        <f>'Chiller Calcs'!O54</f>
        <v>0</v>
      </c>
      <c r="L17" s="77"/>
      <c r="M17" s="67"/>
      <c r="O17" s="72"/>
      <c r="P17" s="72"/>
      <c r="Q17" s="72"/>
      <c r="R17" s="72"/>
      <c r="S17" s="72"/>
      <c r="T17" s="67"/>
      <c r="U17" s="67"/>
      <c r="V17" s="72"/>
      <c r="W17" s="78"/>
      <c r="X17" s="166">
        <f>'Chiller Calcs'!Z54</f>
        <v>0</v>
      </c>
      <c r="Y17" s="247"/>
      <c r="Z17" s="54"/>
      <c r="AA17" s="54"/>
      <c r="AB17" s="171"/>
      <c r="AC17" s="54"/>
    </row>
    <row r="18" spans="1:29">
      <c r="A18" s="91">
        <v>11</v>
      </c>
      <c r="B18" s="105" t="s">
        <v>103</v>
      </c>
      <c r="C18" s="359">
        <f>'Cover Page'!K38</f>
        <v>250</v>
      </c>
      <c r="D18" s="92">
        <f>'Chiller Calcs'!W55</f>
        <v>250</v>
      </c>
      <c r="E18" s="133">
        <v>1</v>
      </c>
      <c r="F18" s="134">
        <v>0</v>
      </c>
      <c r="G18" s="134">
        <v>1</v>
      </c>
      <c r="H18" s="135">
        <v>1</v>
      </c>
      <c r="I18" s="142">
        <f>IF('Chiller Calcs'!X55&gt;0,'Chiller Calcs'!X55,IF('Chiller Calcs'!I55&gt;0,'Chiller Calcs'!I55,0))</f>
        <v>102.06422018348624</v>
      </c>
      <c r="J18" s="143">
        <f>'Chiller Calcs'!N55</f>
        <v>147.93577981651376</v>
      </c>
      <c r="K18" s="144">
        <f>'Chiller Calcs'!O55</f>
        <v>0</v>
      </c>
      <c r="L18" s="77"/>
      <c r="M18" s="67"/>
      <c r="O18" s="72"/>
      <c r="P18" s="72"/>
      <c r="Q18" s="72"/>
      <c r="R18" s="72"/>
      <c r="S18" s="72"/>
      <c r="T18" s="67"/>
      <c r="U18" s="67"/>
      <c r="V18" s="72"/>
      <c r="W18" s="78"/>
      <c r="X18" s="166">
        <f>'Chiller Calcs'!Z55</f>
        <v>0</v>
      </c>
      <c r="Y18" s="247"/>
      <c r="Z18" s="54"/>
      <c r="AA18" s="54"/>
      <c r="AB18" s="171"/>
      <c r="AC18" s="54"/>
    </row>
    <row r="19" spans="1:29">
      <c r="A19" s="91">
        <v>12</v>
      </c>
      <c r="B19" s="105" t="s">
        <v>103</v>
      </c>
      <c r="C19" s="359">
        <f>'Cover Page'!K39</f>
        <v>250</v>
      </c>
      <c r="D19" s="92">
        <f>'Chiller Calcs'!W56</f>
        <v>250</v>
      </c>
      <c r="E19" s="133">
        <v>1</v>
      </c>
      <c r="F19" s="134">
        <v>0</v>
      </c>
      <c r="G19" s="134">
        <v>1</v>
      </c>
      <c r="H19" s="135">
        <v>1</v>
      </c>
      <c r="I19" s="142">
        <f>IF('Chiller Calcs'!X56&gt;0,'Chiller Calcs'!X56,IF('Chiller Calcs'!I56&gt;0,'Chiller Calcs'!I56,0))</f>
        <v>102.06422018348624</v>
      </c>
      <c r="J19" s="143">
        <f>'Chiller Calcs'!N56</f>
        <v>147.93577981651376</v>
      </c>
      <c r="K19" s="144">
        <f>'Chiller Calcs'!O56</f>
        <v>0</v>
      </c>
      <c r="L19" s="77"/>
      <c r="M19" s="67"/>
      <c r="O19" s="72"/>
      <c r="P19" s="72"/>
      <c r="Q19" s="72"/>
      <c r="R19" s="72"/>
      <c r="S19" s="72"/>
      <c r="T19" s="67"/>
      <c r="U19" s="67"/>
      <c r="V19" s="72"/>
      <c r="W19" s="78"/>
      <c r="X19" s="166">
        <f>'Chiller Calcs'!Z56</f>
        <v>0</v>
      </c>
      <c r="Y19" s="247"/>
      <c r="Z19" s="54"/>
      <c r="AA19" s="54"/>
      <c r="AB19" s="171"/>
      <c r="AC19" s="54">
        <f>500*0.65</f>
        <v>325</v>
      </c>
    </row>
    <row r="20" spans="1:29">
      <c r="A20" s="91">
        <v>13</v>
      </c>
      <c r="B20" s="105" t="s">
        <v>103</v>
      </c>
      <c r="C20" s="359">
        <f>'Cover Page'!K40</f>
        <v>250</v>
      </c>
      <c r="D20" s="92">
        <f>'Chiller Calcs'!W57</f>
        <v>250</v>
      </c>
      <c r="E20" s="133">
        <v>1</v>
      </c>
      <c r="F20" s="134">
        <v>0</v>
      </c>
      <c r="G20" s="134">
        <v>1</v>
      </c>
      <c r="H20" s="135">
        <v>1</v>
      </c>
      <c r="I20" s="142">
        <f>IF('Chiller Calcs'!X57&gt;0,'Chiller Calcs'!X57,IF('Chiller Calcs'!I57&gt;0,'Chiller Calcs'!I57,0))</f>
        <v>102.06422018348624</v>
      </c>
      <c r="J20" s="143">
        <f>'Chiller Calcs'!N57</f>
        <v>147.93577981651376</v>
      </c>
      <c r="K20" s="144">
        <f>'Chiller Calcs'!O57</f>
        <v>0</v>
      </c>
      <c r="L20" s="77"/>
      <c r="M20" s="67"/>
      <c r="O20" s="72"/>
      <c r="P20" s="72"/>
      <c r="Q20" s="72"/>
      <c r="R20" s="72"/>
      <c r="S20" s="72"/>
      <c r="T20" s="67"/>
      <c r="U20" s="67"/>
      <c r="V20" s="72"/>
      <c r="W20" s="78"/>
      <c r="X20" s="166">
        <f>'Chiller Calcs'!Z57</f>
        <v>0</v>
      </c>
      <c r="Y20" s="247"/>
      <c r="Z20" s="54"/>
      <c r="AA20" s="54"/>
      <c r="AB20" s="171"/>
      <c r="AC20" s="54"/>
    </row>
    <row r="21" spans="1:29">
      <c r="A21" s="91">
        <v>14</v>
      </c>
      <c r="B21" s="105" t="s">
        <v>103</v>
      </c>
      <c r="C21" s="359">
        <f>'Cover Page'!K41</f>
        <v>250</v>
      </c>
      <c r="D21" s="92">
        <f>'Chiller Calcs'!W58</f>
        <v>250</v>
      </c>
      <c r="E21" s="133">
        <v>1</v>
      </c>
      <c r="F21" s="134">
        <v>0</v>
      </c>
      <c r="G21" s="134">
        <v>1</v>
      </c>
      <c r="H21" s="135">
        <v>1</v>
      </c>
      <c r="I21" s="142">
        <f>IF('Chiller Calcs'!X58&gt;0,'Chiller Calcs'!X58,IF('Chiller Calcs'!I58&gt;0,'Chiller Calcs'!I58,0))</f>
        <v>102.06422018348624</v>
      </c>
      <c r="J21" s="143">
        <f>'Chiller Calcs'!N58</f>
        <v>147.93577981651376</v>
      </c>
      <c r="K21" s="144">
        <f>'Chiller Calcs'!O58</f>
        <v>0</v>
      </c>
      <c r="L21" s="77"/>
      <c r="M21" s="67"/>
      <c r="O21" s="72"/>
      <c r="P21" s="72"/>
      <c r="Q21" s="72"/>
      <c r="R21" s="72"/>
      <c r="S21" s="72"/>
      <c r="T21" s="67"/>
      <c r="U21" s="67"/>
      <c r="V21" s="72"/>
      <c r="W21" s="78"/>
      <c r="X21" s="166">
        <f>'Chiller Calcs'!Z58</f>
        <v>0</v>
      </c>
      <c r="Y21" s="247"/>
      <c r="Z21" s="54"/>
      <c r="AA21" s="54"/>
      <c r="AB21" s="171"/>
      <c r="AC21" s="54"/>
    </row>
    <row r="22" spans="1:29">
      <c r="A22" s="91">
        <v>15</v>
      </c>
      <c r="B22" s="105" t="s">
        <v>103</v>
      </c>
      <c r="C22" s="359">
        <f>'Cover Page'!K42</f>
        <v>200</v>
      </c>
      <c r="D22" s="92">
        <f>'Chiller Calcs'!W59</f>
        <v>200</v>
      </c>
      <c r="E22" s="133">
        <v>1</v>
      </c>
      <c r="F22" s="133">
        <v>0</v>
      </c>
      <c r="G22" s="134">
        <v>1</v>
      </c>
      <c r="H22" s="135">
        <v>1</v>
      </c>
      <c r="I22" s="142">
        <f>IF('Chiller Calcs'!X59&gt;0,'Chiller Calcs'!X59,IF('Chiller Calcs'!I59&gt;0,'Chiller Calcs'!I59,0))</f>
        <v>52.064220183486242</v>
      </c>
      <c r="J22" s="143">
        <f>'Chiller Calcs'!N59</f>
        <v>147.93577981651376</v>
      </c>
      <c r="K22" s="144">
        <f>'Chiller Calcs'!O59</f>
        <v>0</v>
      </c>
      <c r="L22" s="77"/>
      <c r="M22" s="67"/>
      <c r="O22" s="72"/>
      <c r="P22" s="72"/>
      <c r="Q22" s="72"/>
      <c r="R22" s="72"/>
      <c r="S22" s="72"/>
      <c r="T22" s="67"/>
      <c r="U22" s="67"/>
      <c r="V22" s="72"/>
      <c r="W22" s="78"/>
      <c r="X22" s="166">
        <f>'Chiller Calcs'!Z59</f>
        <v>0</v>
      </c>
      <c r="Y22" s="247"/>
      <c r="Z22" s="54"/>
      <c r="AA22" s="54"/>
      <c r="AB22" s="171"/>
      <c r="AC22" s="54"/>
    </row>
    <row r="23" spans="1:29">
      <c r="A23" s="91">
        <v>16</v>
      </c>
      <c r="B23" s="105" t="s">
        <v>103</v>
      </c>
      <c r="C23" s="359">
        <f>'Cover Page'!K43</f>
        <v>125</v>
      </c>
      <c r="D23" s="92">
        <f>'Chiller Calcs'!W60</f>
        <v>125</v>
      </c>
      <c r="E23" s="133">
        <v>1</v>
      </c>
      <c r="F23" s="133">
        <v>0</v>
      </c>
      <c r="G23" s="134">
        <v>1</v>
      </c>
      <c r="H23" s="135">
        <v>1</v>
      </c>
      <c r="I23" s="142">
        <f>IF('Chiller Calcs'!X60&gt;0,'Chiller Calcs'!X60,IF('Chiller Calcs'!I60&gt;0,'Chiller Calcs'!I60,0))</f>
        <v>0</v>
      </c>
      <c r="J23" s="143">
        <f>'Chiller Calcs'!N60</f>
        <v>125</v>
      </c>
      <c r="K23" s="144">
        <f>'Chiller Calcs'!O60</f>
        <v>0</v>
      </c>
      <c r="L23" s="79"/>
      <c r="M23" s="67"/>
      <c r="O23" s="72"/>
      <c r="P23" s="72"/>
      <c r="Q23" s="72"/>
      <c r="R23" s="72"/>
      <c r="S23" s="72"/>
      <c r="T23" s="67"/>
      <c r="U23" s="67"/>
      <c r="V23" s="72"/>
      <c r="W23" s="78"/>
      <c r="X23" s="166">
        <f>'Chiller Calcs'!Z60</f>
        <v>0</v>
      </c>
      <c r="Y23" s="247"/>
      <c r="Z23" s="54"/>
      <c r="AA23" s="54"/>
      <c r="AB23" s="171"/>
      <c r="AC23" s="54"/>
    </row>
    <row r="24" spans="1:29">
      <c r="A24" s="91">
        <v>17</v>
      </c>
      <c r="B24" s="105" t="s">
        <v>103</v>
      </c>
      <c r="C24" s="359">
        <f>'Cover Page'!K44</f>
        <v>50</v>
      </c>
      <c r="D24" s="92">
        <f>'Chiller Calcs'!W61</f>
        <v>50</v>
      </c>
      <c r="E24" s="133">
        <v>1</v>
      </c>
      <c r="F24" s="133">
        <v>0</v>
      </c>
      <c r="G24" s="134">
        <v>1</v>
      </c>
      <c r="H24" s="135">
        <v>1</v>
      </c>
      <c r="I24" s="142">
        <f>IF('Chiller Calcs'!X61&gt;0,'Chiller Calcs'!X61,IF('Chiller Calcs'!I61&gt;0,'Chiller Calcs'!I61,0))</f>
        <v>0</v>
      </c>
      <c r="J24" s="143">
        <f>'Chiller Calcs'!N61</f>
        <v>50</v>
      </c>
      <c r="K24" s="144">
        <f>'Chiller Calcs'!O61</f>
        <v>0</v>
      </c>
      <c r="L24" s="77"/>
      <c r="M24" s="67"/>
      <c r="O24" s="72"/>
      <c r="P24" s="72"/>
      <c r="Q24" s="72"/>
      <c r="R24" s="72"/>
      <c r="S24" s="72"/>
      <c r="T24" s="67"/>
      <c r="U24" s="67"/>
      <c r="V24" s="72"/>
      <c r="W24" s="78"/>
      <c r="X24" s="166">
        <f>'Chiller Calcs'!Z61</f>
        <v>0</v>
      </c>
      <c r="Y24" s="247"/>
      <c r="Z24" s="54"/>
      <c r="AA24" s="54"/>
      <c r="AB24" s="171"/>
      <c r="AC24" s="54"/>
    </row>
    <row r="25" spans="1:29">
      <c r="A25" s="91">
        <v>18</v>
      </c>
      <c r="B25" s="105" t="s">
        <v>103</v>
      </c>
      <c r="C25" s="359">
        <f>'Cover Page'!K45</f>
        <v>50</v>
      </c>
      <c r="D25" s="92">
        <f>'Chiller Calcs'!W62</f>
        <v>50</v>
      </c>
      <c r="E25" s="133">
        <v>1</v>
      </c>
      <c r="F25" s="133">
        <v>0</v>
      </c>
      <c r="G25" s="134">
        <v>1</v>
      </c>
      <c r="H25" s="135">
        <v>1</v>
      </c>
      <c r="I25" s="142">
        <f>IF('Chiller Calcs'!X62&gt;0,'Chiller Calcs'!X62,IF('Chiller Calcs'!I62&gt;0,'Chiller Calcs'!I62,0))</f>
        <v>0</v>
      </c>
      <c r="J25" s="143">
        <f>'Chiller Calcs'!N62</f>
        <v>50</v>
      </c>
      <c r="K25" s="144">
        <f>'Chiller Calcs'!O62</f>
        <v>0</v>
      </c>
      <c r="L25" s="77"/>
      <c r="M25" s="67"/>
      <c r="O25" s="72"/>
      <c r="P25" s="72"/>
      <c r="Q25" s="72"/>
      <c r="R25" s="72"/>
      <c r="S25" s="72"/>
      <c r="T25" s="67"/>
      <c r="U25" s="67"/>
      <c r="V25" s="72"/>
      <c r="W25" s="78"/>
      <c r="X25" s="166">
        <f>'Chiller Calcs'!Z62</f>
        <v>0</v>
      </c>
      <c r="Y25" s="247"/>
      <c r="Z25" s="54">
        <f>22.5*7.5</f>
        <v>168.75</v>
      </c>
      <c r="AA25" s="54"/>
      <c r="AB25" s="171"/>
      <c r="AC25" s="54"/>
    </row>
    <row r="26" spans="1:29">
      <c r="A26" s="91">
        <v>19</v>
      </c>
      <c r="B26" s="105" t="s">
        <v>103</v>
      </c>
      <c r="C26" s="359">
        <f>'Cover Page'!K46</f>
        <v>0</v>
      </c>
      <c r="D26" s="92">
        <f>'Chiller Calcs'!W63</f>
        <v>0</v>
      </c>
      <c r="E26" s="133">
        <v>1</v>
      </c>
      <c r="F26" s="133">
        <v>0</v>
      </c>
      <c r="G26" s="134">
        <v>1</v>
      </c>
      <c r="H26" s="135">
        <v>1</v>
      </c>
      <c r="I26" s="142">
        <f>IF('Chiller Calcs'!X63&gt;0,'Chiller Calcs'!X63,IF('Chiller Calcs'!I63&gt;0,'Chiller Calcs'!I63,0))</f>
        <v>0</v>
      </c>
      <c r="J26" s="143">
        <f>'Chiller Calcs'!N63</f>
        <v>0</v>
      </c>
      <c r="K26" s="144">
        <f>'Chiller Calcs'!O63</f>
        <v>0</v>
      </c>
      <c r="L26" s="80"/>
      <c r="M26" s="67"/>
      <c r="O26" s="72"/>
      <c r="P26" s="72"/>
      <c r="Q26" s="72"/>
      <c r="R26" s="72"/>
      <c r="S26" s="72"/>
      <c r="T26" s="67"/>
      <c r="U26" s="67"/>
      <c r="V26" s="72"/>
      <c r="W26" s="78"/>
      <c r="X26" s="166">
        <f>'Chiller Calcs'!Z63</f>
        <v>0</v>
      </c>
      <c r="Y26" s="247"/>
      <c r="Z26" s="54"/>
      <c r="AA26" s="54"/>
      <c r="AB26" s="171"/>
      <c r="AC26" s="54"/>
    </row>
    <row r="27" spans="1:29">
      <c r="A27" s="91">
        <v>20</v>
      </c>
      <c r="B27" s="105" t="s">
        <v>103</v>
      </c>
      <c r="C27" s="359">
        <f>'Cover Page'!K47</f>
        <v>0</v>
      </c>
      <c r="D27" s="92">
        <f>'Chiller Calcs'!W64</f>
        <v>0</v>
      </c>
      <c r="E27" s="133">
        <v>1</v>
      </c>
      <c r="F27" s="133">
        <v>0</v>
      </c>
      <c r="G27" s="134">
        <v>1</v>
      </c>
      <c r="H27" s="135">
        <v>1</v>
      </c>
      <c r="I27" s="142">
        <f>IF('Chiller Calcs'!X64&gt;0,'Chiller Calcs'!X64,IF('Chiller Calcs'!I64&gt;0,'Chiller Calcs'!I64,0))</f>
        <v>0</v>
      </c>
      <c r="J27" s="143">
        <f>'Chiller Calcs'!N64</f>
        <v>0</v>
      </c>
      <c r="K27" s="144">
        <f>'Chiller Calcs'!O64</f>
        <v>0</v>
      </c>
      <c r="L27" s="77"/>
      <c r="M27" s="67"/>
      <c r="O27" s="72"/>
      <c r="P27" s="72"/>
      <c r="Q27" s="72"/>
      <c r="R27" s="72"/>
      <c r="S27" s="72"/>
      <c r="T27" s="67"/>
      <c r="U27" s="67"/>
      <c r="V27" s="72"/>
      <c r="W27" s="78"/>
      <c r="X27" s="166">
        <f>'Chiller Calcs'!Z64</f>
        <v>0</v>
      </c>
      <c r="Y27" s="247"/>
      <c r="Z27" s="54"/>
      <c r="AA27" s="54"/>
      <c r="AB27" s="171"/>
      <c r="AC27" s="54"/>
    </row>
    <row r="28" spans="1:29">
      <c r="A28" s="91">
        <v>21</v>
      </c>
      <c r="B28" s="105" t="s">
        <v>103</v>
      </c>
      <c r="C28" s="359">
        <f>'Cover Page'!K48</f>
        <v>0</v>
      </c>
      <c r="D28" s="92">
        <f>'Chiller Calcs'!W65</f>
        <v>0</v>
      </c>
      <c r="E28" s="133">
        <v>1</v>
      </c>
      <c r="F28" s="133">
        <v>0</v>
      </c>
      <c r="G28" s="134">
        <v>1</v>
      </c>
      <c r="H28" s="135">
        <v>1</v>
      </c>
      <c r="I28" s="142">
        <f>IF('Chiller Calcs'!X65&gt;0,'Chiller Calcs'!X65,IF('Chiller Calcs'!I65&gt;0,'Chiller Calcs'!I65,0))</f>
        <v>0</v>
      </c>
      <c r="J28" s="143">
        <f>'Chiller Calcs'!N65</f>
        <v>0</v>
      </c>
      <c r="K28" s="144">
        <f>'Chiller Calcs'!O65</f>
        <v>0</v>
      </c>
      <c r="L28" s="77"/>
      <c r="M28" s="67"/>
      <c r="O28" s="72"/>
      <c r="P28" s="72"/>
      <c r="Q28" s="72"/>
      <c r="R28" s="72"/>
      <c r="S28" s="72"/>
      <c r="T28" s="67"/>
      <c r="U28" s="67"/>
      <c r="V28" s="72"/>
      <c r="W28" s="78"/>
      <c r="X28" s="166">
        <f>'Chiller Calcs'!Z65</f>
        <v>0</v>
      </c>
      <c r="Y28" s="247"/>
      <c r="Z28" s="54"/>
      <c r="AA28" s="54"/>
      <c r="AB28" s="171"/>
      <c r="AC28" s="54"/>
    </row>
    <row r="29" spans="1:29">
      <c r="A29" s="91">
        <v>22</v>
      </c>
      <c r="B29" s="105" t="s">
        <v>103</v>
      </c>
      <c r="C29" s="359">
        <f>'Cover Page'!K49</f>
        <v>0</v>
      </c>
      <c r="D29" s="92">
        <f>'Chiller Calcs'!W66</f>
        <v>0</v>
      </c>
      <c r="E29" s="133">
        <v>1</v>
      </c>
      <c r="F29" s="134">
        <v>0</v>
      </c>
      <c r="G29" s="134">
        <v>1</v>
      </c>
      <c r="H29" s="135">
        <v>1</v>
      </c>
      <c r="I29" s="142">
        <f>IF('Chiller Calcs'!X66&gt;0,'Chiller Calcs'!X66,IF('Chiller Calcs'!I66&gt;0,'Chiller Calcs'!I66,0))</f>
        <v>0</v>
      </c>
      <c r="J29" s="143">
        <f>'Chiller Calcs'!N66</f>
        <v>0</v>
      </c>
      <c r="K29" s="144">
        <f>'Chiller Calcs'!O66</f>
        <v>0</v>
      </c>
      <c r="L29" s="77"/>
      <c r="M29" s="67"/>
      <c r="O29" s="72"/>
      <c r="P29" s="72"/>
      <c r="Q29" s="72"/>
      <c r="R29" s="72"/>
      <c r="S29" s="72"/>
      <c r="T29" s="67"/>
      <c r="U29" s="67"/>
      <c r="V29" s="72"/>
      <c r="W29" s="78"/>
      <c r="X29" s="166">
        <f>'Chiller Calcs'!Z66</f>
        <v>0</v>
      </c>
      <c r="Y29" s="247"/>
      <c r="Z29" s="54"/>
      <c r="AA29" s="54"/>
      <c r="AB29" s="171"/>
      <c r="AC29" s="54"/>
    </row>
    <row r="30" spans="1:29">
      <c r="A30" s="91">
        <v>23</v>
      </c>
      <c r="B30" s="105" t="s">
        <v>12</v>
      </c>
      <c r="C30" s="359">
        <f>'Cover Page'!K50</f>
        <v>0</v>
      </c>
      <c r="D30" s="92">
        <f>'Chiller Calcs'!W67</f>
        <v>0</v>
      </c>
      <c r="E30" s="133">
        <v>0.65</v>
      </c>
      <c r="F30" s="134">
        <v>0</v>
      </c>
      <c r="G30" s="134">
        <v>1</v>
      </c>
      <c r="H30" s="135">
        <v>1</v>
      </c>
      <c r="I30" s="142">
        <f>IF('Chiller Calcs'!X67&gt;0,'Chiller Calcs'!X67,IF('Chiller Calcs'!I67&gt;0,'Chiller Calcs'!I67,0))</f>
        <v>0</v>
      </c>
      <c r="J30" s="143">
        <f>'Chiller Calcs'!N67</f>
        <v>0</v>
      </c>
      <c r="K30" s="144">
        <f>'Chiller Calcs'!O67</f>
        <v>0</v>
      </c>
      <c r="L30" s="77"/>
      <c r="M30" s="67"/>
      <c r="O30" s="72"/>
      <c r="P30" s="72"/>
      <c r="Q30" s="72"/>
      <c r="R30" s="72"/>
      <c r="S30" s="72"/>
      <c r="T30" s="67"/>
      <c r="U30" s="67"/>
      <c r="V30" s="72"/>
      <c r="W30" s="78"/>
      <c r="X30" s="166">
        <f>'Chiller Calcs'!Z67</f>
        <v>0</v>
      </c>
      <c r="Y30" s="247"/>
      <c r="Z30" s="54"/>
      <c r="AA30" s="54"/>
      <c r="AB30" s="171"/>
      <c r="AC30" s="54"/>
    </row>
    <row r="31" spans="1:29" ht="15" thickBot="1">
      <c r="A31" s="93">
        <v>24</v>
      </c>
      <c r="B31" s="106" t="s">
        <v>12</v>
      </c>
      <c r="C31" s="359">
        <f>'Cover Page'!K51</f>
        <v>0</v>
      </c>
      <c r="D31" s="94">
        <f>'Chiller Calcs'!W68</f>
        <v>0</v>
      </c>
      <c r="E31" s="136">
        <v>0.65</v>
      </c>
      <c r="F31" s="137">
        <v>0</v>
      </c>
      <c r="G31" s="137">
        <v>1</v>
      </c>
      <c r="H31" s="138">
        <v>1</v>
      </c>
      <c r="I31" s="145">
        <f>IF('Chiller Calcs'!X68&gt;0,'Chiller Calcs'!X68,IF('Chiller Calcs'!I68&gt;0,'Chiller Calcs'!I68,0))</f>
        <v>0</v>
      </c>
      <c r="J31" s="146">
        <f>'Chiller Calcs'!N68</f>
        <v>0</v>
      </c>
      <c r="K31" s="147">
        <f>'Chiller Calcs'!O68</f>
        <v>0</v>
      </c>
      <c r="L31" s="81"/>
      <c r="M31" s="67"/>
      <c r="O31" s="72"/>
      <c r="P31" s="72"/>
      <c r="Q31" s="72"/>
      <c r="R31" s="72"/>
      <c r="S31" s="72"/>
      <c r="T31" s="67"/>
      <c r="U31" s="82"/>
      <c r="V31" s="83"/>
      <c r="W31" s="84"/>
      <c r="X31" s="166">
        <f>'Chiller Calcs'!Z68</f>
        <v>0</v>
      </c>
      <c r="Y31" s="247"/>
      <c r="Z31" s="54"/>
      <c r="AA31" s="54"/>
      <c r="AB31" s="171"/>
      <c r="AC31" s="54"/>
    </row>
    <row r="32" spans="1:29" ht="15.5" thickTop="1" thickBot="1">
      <c r="A32" s="95"/>
      <c r="B32" s="443" t="s">
        <v>64</v>
      </c>
      <c r="C32" s="451">
        <f>SUM(C8:C31)</f>
        <v>2012.5</v>
      </c>
      <c r="D32" s="453" t="s">
        <v>65</v>
      </c>
      <c r="E32" s="454"/>
      <c r="F32" s="454"/>
      <c r="G32" s="110" t="s">
        <v>68</v>
      </c>
      <c r="H32" s="111" t="s">
        <v>67</v>
      </c>
      <c r="I32" s="112" t="s">
        <v>79</v>
      </c>
      <c r="J32" s="113" t="s">
        <v>69</v>
      </c>
      <c r="K32" s="117" t="s">
        <v>70</v>
      </c>
      <c r="L32" s="122" t="s">
        <v>64</v>
      </c>
      <c r="M32" s="109" t="s">
        <v>75</v>
      </c>
      <c r="N32" s="125" t="s">
        <v>74</v>
      </c>
      <c r="O32" s="462" t="s">
        <v>80</v>
      </c>
      <c r="P32" s="463"/>
      <c r="Q32" s="157" t="s">
        <v>73</v>
      </c>
      <c r="R32" s="457" t="s">
        <v>76</v>
      </c>
      <c r="S32" s="159" t="s">
        <v>71</v>
      </c>
      <c r="T32" s="160" t="s">
        <v>72</v>
      </c>
      <c r="U32" s="455" t="s">
        <v>60</v>
      </c>
      <c r="V32" s="455"/>
      <c r="W32" s="456"/>
      <c r="Y32" s="247"/>
      <c r="Z32" s="152"/>
    </row>
    <row r="33" spans="1:27" ht="15" thickBot="1">
      <c r="A33" s="96"/>
      <c r="B33" s="444"/>
      <c r="C33" s="452"/>
      <c r="D33" s="459" t="s">
        <v>66</v>
      </c>
      <c r="E33" s="460"/>
      <c r="F33" s="461"/>
      <c r="G33" s="115">
        <f>'Chiller Calcs'!Q69</f>
        <v>0</v>
      </c>
      <c r="H33" s="114">
        <f>'Chiller Calcs'!R69</f>
        <v>0</v>
      </c>
      <c r="I33" s="114">
        <f>SUM(I8:I31)</f>
        <v>576.94954128440361</v>
      </c>
      <c r="J33" s="114">
        <f>SUM(J8:J31)</f>
        <v>1435.5504587155965</v>
      </c>
      <c r="K33" s="116">
        <f>SUM(K8:K31)</f>
        <v>0</v>
      </c>
      <c r="L33" s="123">
        <f>SUM(G33:K33)</f>
        <v>2012.5</v>
      </c>
      <c r="M33" s="121">
        <f>AC9</f>
        <v>576.94954128440361</v>
      </c>
      <c r="N33" s="126">
        <f>AC10</f>
        <v>576.94954128440361</v>
      </c>
      <c r="O33" s="464" t="s">
        <v>77</v>
      </c>
      <c r="P33" s="465"/>
      <c r="Q33" s="158">
        <f>(ROUND(I33/W6,0))</f>
        <v>4</v>
      </c>
      <c r="R33" s="458"/>
      <c r="S33" s="161">
        <f>IF(Q33=1,0,(Q33-(3*T33))/2)</f>
        <v>2</v>
      </c>
      <c r="T33" s="162">
        <f>IF(Q33=1,0,IF(Q33/3-(ROUND(Q33/3,0))=0,Q33/3,IF(Q33/3-ROUND(Q33/3,0)&gt;0.5,ROUND(Q33/3,0),-1+ROUND(Q33/3,0))))</f>
        <v>0</v>
      </c>
      <c r="U33" s="124" t="s">
        <v>57</v>
      </c>
      <c r="V33" s="127" t="s">
        <v>61</v>
      </c>
      <c r="W33" s="128">
        <v>110318</v>
      </c>
      <c r="Y33" s="247"/>
    </row>
    <row r="34" spans="1:27" ht="15" thickTop="1">
      <c r="A34" s="429"/>
      <c r="B34" s="431" t="s">
        <v>58</v>
      </c>
      <c r="C34" s="431"/>
      <c r="D34" s="433" t="s">
        <v>371</v>
      </c>
      <c r="E34" s="434"/>
      <c r="F34" s="434"/>
      <c r="G34" s="434"/>
      <c r="H34" s="434"/>
      <c r="I34" s="434"/>
      <c r="J34" s="431" t="s">
        <v>62</v>
      </c>
      <c r="K34" s="431"/>
      <c r="L34" s="434" t="s">
        <v>372</v>
      </c>
      <c r="M34" s="434"/>
      <c r="N34" s="436"/>
      <c r="O34" s="436"/>
      <c r="P34" s="436"/>
      <c r="Q34" s="434"/>
      <c r="R34" s="437"/>
      <c r="S34" s="437"/>
      <c r="T34" s="431" t="s">
        <v>59</v>
      </c>
      <c r="U34" s="439" t="s">
        <v>373</v>
      </c>
      <c r="V34" s="439"/>
      <c r="W34" s="440"/>
    </row>
    <row r="35" spans="1:27" ht="15" thickBot="1">
      <c r="A35" s="430"/>
      <c r="B35" s="432"/>
      <c r="C35" s="432"/>
      <c r="D35" s="435"/>
      <c r="E35" s="435"/>
      <c r="F35" s="435"/>
      <c r="G35" s="435"/>
      <c r="H35" s="435"/>
      <c r="I35" s="435"/>
      <c r="J35" s="432"/>
      <c r="K35" s="432"/>
      <c r="L35" s="435"/>
      <c r="M35" s="435"/>
      <c r="N35" s="435"/>
      <c r="O35" s="435"/>
      <c r="P35" s="435"/>
      <c r="Q35" s="435"/>
      <c r="R35" s="438"/>
      <c r="S35" s="438"/>
      <c r="T35" s="432"/>
      <c r="U35" s="441"/>
      <c r="V35" s="441"/>
      <c r="W35" s="442"/>
    </row>
    <row r="36" spans="1:27" ht="15" thickTop="1">
      <c r="A36" s="412"/>
      <c r="B36" s="414" t="s">
        <v>90</v>
      </c>
      <c r="C36" s="414"/>
      <c r="D36" s="416" t="s">
        <v>101</v>
      </c>
      <c r="E36" s="417"/>
      <c r="F36" s="417"/>
      <c r="G36" s="417"/>
      <c r="H36" s="417"/>
      <c r="I36" s="417"/>
      <c r="J36" s="414" t="s">
        <v>91</v>
      </c>
      <c r="K36" s="414"/>
      <c r="L36" s="419"/>
      <c r="M36" s="419"/>
      <c r="N36" s="419"/>
      <c r="O36" s="419"/>
      <c r="P36" s="419"/>
      <c r="Q36" s="419"/>
      <c r="R36" s="419"/>
      <c r="S36" s="419"/>
      <c r="T36" s="419"/>
      <c r="U36" s="419"/>
      <c r="V36" s="419"/>
      <c r="W36" s="420"/>
    </row>
    <row r="37" spans="1:27" ht="15" thickBot="1">
      <c r="A37" s="413"/>
      <c r="B37" s="415"/>
      <c r="C37" s="415"/>
      <c r="D37" s="418"/>
      <c r="E37" s="418"/>
      <c r="F37" s="418"/>
      <c r="G37" s="418"/>
      <c r="H37" s="418"/>
      <c r="I37" s="418"/>
      <c r="J37" s="415"/>
      <c r="K37" s="415"/>
      <c r="L37" s="421"/>
      <c r="M37" s="421"/>
      <c r="N37" s="421"/>
      <c r="O37" s="421"/>
      <c r="P37" s="421"/>
      <c r="Q37" s="421"/>
      <c r="R37" s="421"/>
      <c r="S37" s="421"/>
      <c r="T37" s="421"/>
      <c r="U37" s="421"/>
      <c r="V37" s="421"/>
      <c r="W37" s="422"/>
    </row>
    <row r="38" spans="1:27" ht="15" thickTop="1">
      <c r="A38" s="445" t="s">
        <v>93</v>
      </c>
      <c r="B38" s="446"/>
      <c r="C38" s="446"/>
      <c r="D38" s="446"/>
      <c r="E38" s="446"/>
      <c r="F38" s="446"/>
      <c r="G38" s="446"/>
      <c r="H38" s="446"/>
      <c r="I38" s="446"/>
      <c r="J38" s="446"/>
      <c r="K38" s="446"/>
      <c r="L38" s="446"/>
      <c r="M38" s="446"/>
      <c r="N38" s="446"/>
      <c r="O38" s="446"/>
      <c r="P38" s="446"/>
      <c r="Q38" s="446"/>
      <c r="R38" s="446"/>
      <c r="S38" s="446"/>
      <c r="T38" s="446"/>
      <c r="U38" s="446"/>
      <c r="V38" s="448" t="s">
        <v>92</v>
      </c>
      <c r="W38" s="448"/>
    </row>
    <row r="39" spans="1:27">
      <c r="A39" s="447"/>
      <c r="B39" s="447"/>
      <c r="C39" s="447"/>
      <c r="D39" s="447"/>
      <c r="E39" s="447"/>
      <c r="F39" s="447"/>
      <c r="G39" s="447"/>
      <c r="H39" s="447"/>
      <c r="I39" s="447"/>
      <c r="J39" s="447"/>
      <c r="K39" s="447"/>
      <c r="L39" s="447"/>
      <c r="M39" s="447"/>
      <c r="N39" s="447"/>
      <c r="O39" s="447"/>
      <c r="P39" s="447"/>
      <c r="Q39" s="447"/>
      <c r="R39" s="447"/>
      <c r="S39" s="447"/>
      <c r="T39" s="447"/>
      <c r="U39" s="447"/>
    </row>
    <row r="40" spans="1:27">
      <c r="A40" s="129"/>
      <c r="B40" s="129"/>
      <c r="C40" s="129"/>
      <c r="D40" s="129"/>
      <c r="E40" s="129"/>
      <c r="F40" s="129"/>
      <c r="G40" s="129"/>
      <c r="H40" s="129"/>
      <c r="I40" s="129"/>
      <c r="J40" s="129"/>
      <c r="K40" s="129"/>
      <c r="L40" s="129"/>
      <c r="M40" s="129"/>
      <c r="N40" s="129"/>
      <c r="O40" s="129"/>
      <c r="P40" s="129"/>
      <c r="Q40" s="129"/>
      <c r="R40" s="129"/>
      <c r="S40" s="129"/>
      <c r="T40" s="129"/>
      <c r="U40" s="129"/>
    </row>
    <row r="41" spans="1:27">
      <c r="B41" s="103" t="s">
        <v>12</v>
      </c>
      <c r="G41" s="55"/>
      <c r="H41" s="54"/>
    </row>
    <row r="42" spans="1:27">
      <c r="G42" s="55"/>
      <c r="H42" s="54"/>
    </row>
    <row r="43" spans="1:27">
      <c r="G43" s="60"/>
      <c r="H43" s="60"/>
      <c r="I43" s="60"/>
      <c r="J43" s="60"/>
      <c r="K43" s="60"/>
      <c r="L43" s="173"/>
      <c r="M43" s="60"/>
      <c r="N43" s="60"/>
      <c r="O43" s="60"/>
      <c r="P43" s="60"/>
      <c r="Q43" s="60"/>
      <c r="R43" s="60"/>
      <c r="S43" s="60"/>
      <c r="T43" s="60"/>
      <c r="U43" s="60"/>
      <c r="V43" s="60"/>
      <c r="W43" s="60"/>
      <c r="X43" s="60"/>
      <c r="Y43" s="60"/>
      <c r="Z43" s="60"/>
      <c r="AA43" s="60"/>
    </row>
    <row r="44" spans="1:27">
      <c r="G44" s="60"/>
      <c r="H44" s="60"/>
      <c r="I44" s="60"/>
      <c r="J44" s="60"/>
      <c r="K44" s="60"/>
      <c r="L44" s="60"/>
      <c r="M44" s="60"/>
      <c r="N44" s="60"/>
      <c r="O44" s="60"/>
      <c r="P44" s="60"/>
      <c r="Q44" s="60"/>
      <c r="R44" s="60"/>
      <c r="S44" s="60"/>
      <c r="T44" s="60"/>
      <c r="U44" s="60"/>
      <c r="V44" s="60"/>
      <c r="W44" s="60"/>
      <c r="X44" s="60"/>
      <c r="Y44" s="60"/>
      <c r="Z44" s="60"/>
      <c r="AA44" s="60"/>
    </row>
    <row r="45" spans="1:27">
      <c r="G45" s="60"/>
      <c r="H45" s="60"/>
      <c r="I45" s="60"/>
      <c r="J45" s="60"/>
      <c r="K45" s="60"/>
      <c r="L45" s="60"/>
      <c r="M45" s="60"/>
      <c r="N45" s="60"/>
      <c r="O45" s="60"/>
      <c r="P45" s="60"/>
      <c r="Q45" s="60"/>
      <c r="R45" s="60"/>
      <c r="S45" s="60"/>
      <c r="T45" s="60"/>
      <c r="U45" s="60"/>
      <c r="V45" s="60"/>
      <c r="W45" s="60"/>
      <c r="X45" s="60"/>
      <c r="Y45" s="60"/>
      <c r="Z45" s="60"/>
      <c r="AA45" s="60"/>
    </row>
    <row r="46" spans="1:27">
      <c r="G46" s="60"/>
      <c r="H46" s="60"/>
      <c r="I46" s="60"/>
      <c r="J46" s="60"/>
      <c r="K46" s="60"/>
      <c r="L46" s="60"/>
      <c r="M46" s="60"/>
      <c r="N46" s="60"/>
      <c r="O46" s="60"/>
      <c r="P46" s="60"/>
      <c r="Q46" s="60"/>
      <c r="R46" s="60"/>
      <c r="S46" s="60"/>
      <c r="T46" s="60"/>
      <c r="U46" s="60"/>
      <c r="V46" s="60"/>
      <c r="W46" s="60"/>
      <c r="X46" s="60"/>
      <c r="Y46" s="60"/>
      <c r="Z46" s="60"/>
      <c r="AA46" s="60"/>
    </row>
    <row r="47" spans="1:27">
      <c r="G47" s="60"/>
      <c r="H47" s="60"/>
      <c r="I47" s="60"/>
      <c r="J47" s="60"/>
      <c r="K47" s="60"/>
      <c r="L47" s="60"/>
      <c r="M47" s="60"/>
      <c r="N47" s="60"/>
      <c r="O47" s="60"/>
      <c r="P47" s="60"/>
      <c r="Q47" s="60"/>
      <c r="R47" s="60"/>
      <c r="S47" s="60"/>
      <c r="T47" s="60"/>
      <c r="U47" s="60"/>
      <c r="V47" s="60"/>
      <c r="W47" s="60"/>
      <c r="X47" s="60"/>
      <c r="Y47" s="60"/>
      <c r="Z47" s="60"/>
      <c r="AA47" s="60"/>
    </row>
    <row r="48" spans="1:27">
      <c r="G48" s="60"/>
      <c r="H48" s="60"/>
      <c r="I48" s="60"/>
      <c r="J48" s="60"/>
      <c r="K48" s="60"/>
      <c r="L48" s="60"/>
      <c r="M48" s="60"/>
      <c r="N48" s="60"/>
      <c r="O48" s="60"/>
      <c r="P48" s="60"/>
      <c r="Q48" s="60"/>
      <c r="R48" s="60"/>
      <c r="S48" s="60"/>
      <c r="T48" s="60"/>
      <c r="U48" s="60"/>
      <c r="V48" s="60"/>
      <c r="W48" s="60"/>
      <c r="X48" s="60"/>
      <c r="Y48" s="60"/>
      <c r="Z48" s="60"/>
      <c r="AA48" s="60"/>
    </row>
    <row r="49" spans="7:27">
      <c r="G49" s="60"/>
      <c r="H49" s="60"/>
      <c r="I49" s="60"/>
      <c r="J49" s="60"/>
      <c r="K49" s="60"/>
      <c r="L49" s="60"/>
      <c r="M49" s="60"/>
      <c r="N49" s="60"/>
      <c r="O49" s="60"/>
      <c r="P49" s="60"/>
      <c r="Q49" s="60"/>
      <c r="R49" s="60"/>
      <c r="S49" s="60"/>
      <c r="T49" s="60"/>
      <c r="U49" s="60"/>
      <c r="V49" s="60"/>
      <c r="W49" s="60"/>
      <c r="X49" s="60"/>
      <c r="Y49" s="60"/>
      <c r="Z49" s="60"/>
      <c r="AA49" s="60"/>
    </row>
    <row r="50" spans="7:27">
      <c r="G50" s="60"/>
      <c r="H50" s="60"/>
      <c r="I50" s="60"/>
      <c r="J50" s="60"/>
      <c r="K50" s="60"/>
      <c r="L50" s="60"/>
      <c r="M50" s="60"/>
      <c r="N50" s="60"/>
      <c r="O50" s="60"/>
      <c r="P50" s="60"/>
      <c r="Q50" s="60"/>
      <c r="R50" s="60"/>
      <c r="S50" s="60"/>
      <c r="T50" s="60"/>
      <c r="U50" s="60"/>
      <c r="V50" s="60"/>
      <c r="W50" s="60"/>
      <c r="X50" s="60"/>
      <c r="Y50" s="60"/>
      <c r="Z50" s="60"/>
      <c r="AA50" s="60"/>
    </row>
    <row r="51" spans="7:27">
      <c r="G51" s="60"/>
      <c r="H51" s="60"/>
      <c r="I51" s="60"/>
      <c r="J51" s="60"/>
      <c r="K51" s="60"/>
      <c r="L51" s="60"/>
      <c r="M51" s="60"/>
      <c r="N51" s="60"/>
      <c r="O51" s="60"/>
      <c r="P51" s="60"/>
      <c r="Q51" s="60"/>
      <c r="R51" s="60"/>
      <c r="S51" s="60"/>
      <c r="T51" s="60"/>
      <c r="U51" s="60"/>
      <c r="V51" s="60"/>
      <c r="W51" s="60"/>
      <c r="X51" s="60"/>
      <c r="Y51" s="60"/>
      <c r="Z51" s="60"/>
      <c r="AA51" s="60"/>
    </row>
    <row r="52" spans="7:27">
      <c r="G52" s="60"/>
      <c r="H52" s="60"/>
      <c r="I52" s="60"/>
      <c r="J52" s="60"/>
      <c r="K52" s="60"/>
      <c r="L52" s="60"/>
      <c r="M52" s="60"/>
      <c r="N52" s="60"/>
      <c r="O52" s="60"/>
      <c r="P52" s="60"/>
      <c r="Q52" s="60"/>
      <c r="R52" s="60"/>
      <c r="S52" s="60"/>
      <c r="T52" s="60"/>
      <c r="U52" s="60"/>
      <c r="V52" s="60"/>
      <c r="W52" s="60"/>
      <c r="X52" s="60"/>
      <c r="Y52" s="60"/>
      <c r="Z52" s="60"/>
      <c r="AA52" s="60"/>
    </row>
    <row r="53" spans="7:27">
      <c r="G53" s="60"/>
      <c r="H53" s="60"/>
      <c r="I53" s="60"/>
      <c r="J53" s="60"/>
      <c r="K53" s="60"/>
      <c r="L53" s="60"/>
      <c r="M53" s="60"/>
      <c r="N53" s="60"/>
      <c r="O53" s="60"/>
      <c r="P53" s="60"/>
      <c r="Q53" s="60"/>
      <c r="R53" s="60"/>
      <c r="S53" s="60"/>
      <c r="T53" s="60"/>
      <c r="U53" s="60"/>
      <c r="V53" s="60"/>
      <c r="W53" s="60"/>
      <c r="X53" s="60"/>
      <c r="Y53" s="60"/>
      <c r="Z53" s="60"/>
      <c r="AA53" s="60"/>
    </row>
    <row r="54" spans="7:27">
      <c r="G54" s="60"/>
      <c r="H54" s="60"/>
      <c r="I54" s="60"/>
      <c r="J54" s="60"/>
      <c r="K54" s="60"/>
      <c r="L54" s="60"/>
      <c r="M54" s="60"/>
      <c r="N54" s="60"/>
      <c r="O54" s="60"/>
      <c r="P54" s="60"/>
      <c r="Q54" s="60"/>
      <c r="R54" s="60"/>
      <c r="S54" s="60"/>
      <c r="T54" s="60"/>
      <c r="U54" s="60"/>
      <c r="V54" s="60"/>
      <c r="W54" s="60"/>
      <c r="X54" s="60"/>
      <c r="Y54" s="60"/>
      <c r="Z54" s="60"/>
      <c r="AA54" s="60"/>
    </row>
    <row r="55" spans="7:27">
      <c r="G55" s="60"/>
      <c r="H55" s="60"/>
      <c r="I55" s="60"/>
      <c r="J55" s="60"/>
      <c r="K55" s="60"/>
      <c r="L55" s="60"/>
      <c r="M55" s="60"/>
      <c r="N55" s="60"/>
      <c r="O55" s="60"/>
      <c r="P55" s="60"/>
      <c r="Q55" s="60"/>
      <c r="R55" s="60"/>
      <c r="S55" s="60"/>
      <c r="T55" s="60"/>
      <c r="U55" s="60"/>
      <c r="V55" s="60"/>
      <c r="W55" s="60"/>
      <c r="X55" s="60"/>
      <c r="Y55" s="60"/>
      <c r="Z55" s="60"/>
      <c r="AA55" s="60"/>
    </row>
    <row r="56" spans="7:27">
      <c r="G56" s="60"/>
      <c r="H56" s="60"/>
      <c r="I56" s="60"/>
      <c r="J56" s="60"/>
      <c r="K56" s="60"/>
      <c r="L56" s="60"/>
      <c r="M56" s="60"/>
      <c r="N56" s="60"/>
      <c r="O56" s="60"/>
      <c r="P56" s="60"/>
      <c r="Q56" s="60"/>
      <c r="R56" s="60"/>
      <c r="S56" s="60"/>
      <c r="T56" s="60"/>
      <c r="U56" s="60"/>
      <c r="V56" s="60"/>
      <c r="W56" s="60"/>
      <c r="X56" s="60"/>
      <c r="Y56" s="60"/>
      <c r="Z56" s="60"/>
      <c r="AA56" s="60"/>
    </row>
    <row r="57" spans="7:27">
      <c r="G57" s="55"/>
      <c r="H57" s="54"/>
    </row>
    <row r="58" spans="7:27">
      <c r="G58" s="55"/>
      <c r="H58" s="54"/>
    </row>
    <row r="59" spans="7:27">
      <c r="G59" s="55"/>
      <c r="H59" s="54"/>
    </row>
  </sheetData>
  <sheetProtection password="BDE8" sheet="1" objects="1" scenarios="1" selectLockedCells="1"/>
  <sortState ref="T33">
    <sortCondition sortBy="cellColor" ref="T32" dxfId="12"/>
  </sortState>
  <mergeCells count="38">
    <mergeCell ref="A38:U39"/>
    <mergeCell ref="V38:W38"/>
    <mergeCell ref="V5:W5"/>
    <mergeCell ref="C32:C33"/>
    <mergeCell ref="D32:F32"/>
    <mergeCell ref="U32:W32"/>
    <mergeCell ref="R32:R33"/>
    <mergeCell ref="D33:F33"/>
    <mergeCell ref="O32:P32"/>
    <mergeCell ref="O33:P33"/>
    <mergeCell ref="A5:E5"/>
    <mergeCell ref="A6:E6"/>
    <mergeCell ref="G5:J5"/>
    <mergeCell ref="G6:J6"/>
    <mergeCell ref="L5:O5"/>
    <mergeCell ref="L6:O6"/>
    <mergeCell ref="A1:W1"/>
    <mergeCell ref="A36:A37"/>
    <mergeCell ref="B36:C37"/>
    <mergeCell ref="D36:I37"/>
    <mergeCell ref="J36:K37"/>
    <mergeCell ref="L36:W37"/>
    <mergeCell ref="A2:W3"/>
    <mergeCell ref="A34:A35"/>
    <mergeCell ref="B34:C35"/>
    <mergeCell ref="D34:I35"/>
    <mergeCell ref="J34:K35"/>
    <mergeCell ref="L34:Q35"/>
    <mergeCell ref="R34:S35"/>
    <mergeCell ref="T34:T35"/>
    <mergeCell ref="U34:W35"/>
    <mergeCell ref="B32:B33"/>
    <mergeCell ref="Q6:T6"/>
    <mergeCell ref="Q4:T4"/>
    <mergeCell ref="L4:O4"/>
    <mergeCell ref="A4:E4"/>
    <mergeCell ref="G4:J4"/>
    <mergeCell ref="Q5:T5"/>
  </mergeCells>
  <conditionalFormatting sqref="E8:E31">
    <cfRule type="expression" dxfId="11" priority="14">
      <formula>AND(B8="F",E8&gt;0)</formula>
    </cfRule>
    <cfRule type="expression" dxfId="10" priority="24">
      <formula>OR(AND($F$5&lt;&gt;E8,B8="I"),AND($F$6&lt;&gt;E8,B8="P"))</formula>
    </cfRule>
  </conditionalFormatting>
  <conditionalFormatting sqref="G9:G31">
    <cfRule type="expression" dxfId="9" priority="12">
      <formula>AND(F7="F",G7&gt;0)</formula>
    </cfRule>
    <cfRule type="expression" dxfId="8" priority="18">
      <formula>OR(AND($P$5&lt;&gt;G9,B9="I"),AND($P$6&lt;&gt;G9,B9="P"))</formula>
    </cfRule>
  </conditionalFormatting>
  <conditionalFormatting sqref="F8:F21 F29:F31">
    <cfRule type="expression" dxfId="7" priority="13">
      <formula>AND(B8="F",F8&gt;0)</formula>
    </cfRule>
    <cfRule type="expression" dxfId="6" priority="15">
      <formula>OR(AND($K$5&lt;&gt;F8,B8="I"),AND($K$6&lt;&gt;F8,B8="P"))</formula>
    </cfRule>
  </conditionalFormatting>
  <conditionalFormatting sqref="G8">
    <cfRule type="expression" dxfId="5" priority="28">
      <formula>OR(AND($P$5&lt;&gt;G8,B8="I"),AND($P$6&lt;&gt;G8,B8="P"))</formula>
    </cfRule>
  </conditionalFormatting>
  <conditionalFormatting sqref="H8:H31">
    <cfRule type="expression" dxfId="4" priority="29">
      <formula>AND(B8="F",H8&gt;0)</formula>
    </cfRule>
    <cfRule type="expression" dxfId="3" priority="30">
      <formula>OR(AND($U$5&lt;&gt;H8,B8="I"),AND($U$6&lt;&gt;H8,B8="P"))</formula>
    </cfRule>
  </conditionalFormatting>
  <conditionalFormatting sqref="G8:G31">
    <cfRule type="expression" dxfId="2" priority="3">
      <formula>AND(B8="F",G8&gt;0)</formula>
    </cfRule>
  </conditionalFormatting>
  <conditionalFormatting sqref="F22:F28">
    <cfRule type="expression" dxfId="1" priority="1">
      <formula>AND(C22="F",F22&gt;0)</formula>
    </cfRule>
    <cfRule type="expression" dxfId="0" priority="2">
      <formula>OR(AND($F$5&lt;&gt;F22,C22="I"),AND($F$6&lt;&gt;F22,C22="P"))</formula>
    </cfRule>
  </conditionalFormatting>
  <dataValidations count="4">
    <dataValidation type="custom" allowBlank="1" showInputMessage="1" showErrorMessage="1" errorTitle="Invalid Data Entry" error="1) Check if Value is &gt;= 0 and &lt;=1_x000a__x000a_2) If hour type is defined as “F” or Full Storage, by definition all chillers are off so entry must be 0" sqref="E8:E31">
      <formula1>NOT(OR(AND(B8="F",E8&gt;0),E8&lt;0,E8&gt;1))</formula1>
    </dataValidation>
    <dataValidation type="custom" allowBlank="1" showInputMessage="1" showErrorMessage="1" errorTitle="Invalid Data Entry" error="1) Check if Value is &gt;= 0 and &lt;=1_x000a__x000a_2) If hour type is defined as “F” or Full Storage, by definition all chillers are off so entry must be 0" sqref="F8:F31">
      <formula1>NOT(OR(AND(B8="F",F8&gt;0),F8&lt;0,F8&gt;1))</formula1>
    </dataValidation>
    <dataValidation type="custom" allowBlank="1" showInputMessage="1" showErrorMessage="1" errorTitle="Invalid Data Entry" error="1) Check if Value is &gt;= 0 and &lt;=1_x000a__x000a_2) If hour type is defined as “F” or Full Storage, by definition all chillers are off so entry must be 0" sqref="G8:G31">
      <formula1>NOT(OR(AND(B8="F",G8&gt;0),G8&lt;0,G8&gt;1))</formula1>
    </dataValidation>
    <dataValidation type="custom" allowBlank="1" showInputMessage="1" showErrorMessage="1" errorTitle="Invalid Data Entry" error="1) Check if Value is &gt;= 0 and &lt;=1_x000a__x000a_2) If hour type is defined as “F” or Full Storage, by definition all chillers are off so entry must be 0" sqref="H8:H31">
      <formula1>NOT(OR(AND(B8="F",H8&gt;0),H8&lt;0,H8&gt;1))</formula1>
    </dataValidation>
  </dataValidations>
  <hyperlinks>
    <hyperlink ref="V38:W38" r:id="rId1" display="IceBank Energy Storage"/>
  </hyperlinks>
  <printOptions horizontalCentered="1"/>
  <pageMargins left="0.71" right="0.59" top="0.75" bottom="0.75" header="0.3" footer="0.3"/>
  <pageSetup scale="56" orientation="landscape" r:id="rId2"/>
  <headerFooter alignWithMargins="0">
    <oddHeader>&amp;L&amp;D&amp;C&amp;"-,Bold"&amp;16CALMAC IceBank Account&amp;R&amp;A</oddHeader>
    <oddFooter>&amp;L&amp;P of &amp;N&amp;C Verify final design with IcePick, chiller selections, and CALMAC review&amp;R&amp;F</oddFooter>
  </headerFooter>
  <ignoredErrors>
    <ignoredError sqref="D8:D9 D11:D13 D10 D18:D31 D17 D14:D16 K4 AC9:AC10 X8:X31" unlockedFormula="1"/>
  </ignoredErrors>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80"/>
  <sheetViews>
    <sheetView showGridLines="0" topLeftCell="A4" zoomScale="80" zoomScaleNormal="80" workbookViewId="0">
      <selection activeCell="B15" sqref="B15"/>
    </sheetView>
  </sheetViews>
  <sheetFormatPr defaultRowHeight="14.5"/>
  <cols>
    <col min="1" max="1" width="33.453125" customWidth="1"/>
    <col min="2" max="2" width="15.81640625" customWidth="1"/>
    <col min="6" max="6" width="36.1796875" customWidth="1"/>
    <col min="7" max="7" width="20" customWidth="1"/>
    <col min="8" max="8" width="13.453125" customWidth="1"/>
    <col min="11" max="11" width="32.54296875" customWidth="1"/>
    <col min="12" max="12" width="16.26953125" customWidth="1"/>
    <col min="13" max="13" width="13.453125" customWidth="1"/>
  </cols>
  <sheetData>
    <row r="1" spans="1:14">
      <c r="A1" s="175" t="s">
        <v>339</v>
      </c>
    </row>
    <row r="2" spans="1:14">
      <c r="A2" t="s">
        <v>293</v>
      </c>
    </row>
    <row r="4" spans="1:14" ht="15" thickBot="1"/>
    <row r="5" spans="1:14">
      <c r="A5" s="255" t="s">
        <v>249</v>
      </c>
      <c r="B5" s="256"/>
      <c r="F5" s="175" t="s">
        <v>161</v>
      </c>
      <c r="K5" s="175" t="s">
        <v>176</v>
      </c>
    </row>
    <row r="6" spans="1:14">
      <c r="A6" s="248" t="s">
        <v>192</v>
      </c>
      <c r="B6" s="279">
        <v>19.48</v>
      </c>
      <c r="F6" t="s">
        <v>174</v>
      </c>
      <c r="G6" s="271">
        <f>MAX('IceBank Account'!$C$8:$C$31)</f>
        <v>250</v>
      </c>
      <c r="K6" t="s">
        <v>177</v>
      </c>
      <c r="L6" s="271">
        <f>Summary!B13</f>
        <v>250</v>
      </c>
    </row>
    <row r="7" spans="1:14">
      <c r="A7" s="248" t="s">
        <v>193</v>
      </c>
      <c r="B7" s="280">
        <v>10.11</v>
      </c>
      <c r="K7" t="s">
        <v>178</v>
      </c>
      <c r="L7">
        <f>'IceBank Account'!$Q$33</f>
        <v>4</v>
      </c>
    </row>
    <row r="8" spans="1:14">
      <c r="A8" s="248" t="s">
        <v>194</v>
      </c>
      <c r="B8" s="257">
        <v>5.0999999999999997E-2</v>
      </c>
      <c r="F8" s="191" t="s">
        <v>162</v>
      </c>
      <c r="K8" s="191" t="s">
        <v>162</v>
      </c>
    </row>
    <row r="9" spans="1:14" ht="15" thickBot="1">
      <c r="A9" s="289" t="s">
        <v>209</v>
      </c>
      <c r="B9" s="290">
        <f>Tax</f>
        <v>0.08</v>
      </c>
      <c r="F9" s="258" t="s">
        <v>306</v>
      </c>
      <c r="G9" s="284" t="s">
        <v>163</v>
      </c>
      <c r="H9" s="245" t="s">
        <v>164</v>
      </c>
      <c r="I9" s="12"/>
      <c r="K9" s="258" t="s">
        <v>306</v>
      </c>
      <c r="L9" s="284" t="s">
        <v>163</v>
      </c>
      <c r="M9" s="245" t="s">
        <v>164</v>
      </c>
      <c r="N9" s="12"/>
    </row>
    <row r="10" spans="1:14">
      <c r="A10" s="305" t="s">
        <v>202</v>
      </c>
      <c r="B10" s="312" t="s">
        <v>294</v>
      </c>
      <c r="C10" s="306"/>
      <c r="D10" s="307"/>
      <c r="F10" t="s">
        <v>190</v>
      </c>
      <c r="G10" s="283" t="s">
        <v>196</v>
      </c>
      <c r="H10" s="260">
        <f>B6</f>
        <v>19.48</v>
      </c>
      <c r="K10" t="s">
        <v>190</v>
      </c>
      <c r="L10" s="283" t="s">
        <v>196</v>
      </c>
      <c r="M10" s="260">
        <f>B6</f>
        <v>19.48</v>
      </c>
    </row>
    <row r="11" spans="1:14">
      <c r="A11" s="308" t="s">
        <v>166</v>
      </c>
      <c r="B11" s="309"/>
      <c r="C11" s="309"/>
      <c r="D11" s="310"/>
      <c r="F11" t="s">
        <v>191</v>
      </c>
      <c r="G11" s="281">
        <f>B13</f>
        <v>275</v>
      </c>
      <c r="H11" s="260">
        <f>G11*$B$7</f>
        <v>2780.25</v>
      </c>
      <c r="K11" t="s">
        <v>191</v>
      </c>
      <c r="L11" s="281">
        <f>B19</f>
        <v>170.12614678899081</v>
      </c>
      <c r="M11" s="260">
        <f>L11*$B$7</f>
        <v>1719.9753440366969</v>
      </c>
    </row>
    <row r="12" spans="1:14">
      <c r="A12" s="178" t="s">
        <v>167</v>
      </c>
      <c r="B12" s="311">
        <f>AVERAGE('IceBank Account'!C8:C31)*Efficiency</f>
        <v>92.239583333333343</v>
      </c>
      <c r="C12" s="286"/>
      <c r="D12" s="310"/>
      <c r="F12" t="s">
        <v>195</v>
      </c>
      <c r="G12" s="282">
        <f>B16</f>
        <v>48702.5</v>
      </c>
      <c r="H12" s="260">
        <f>G12*$B$8</f>
        <v>2483.8274999999999</v>
      </c>
      <c r="K12" t="s">
        <v>195</v>
      </c>
      <c r="L12" s="282">
        <f>B22</f>
        <v>51550.894495412831</v>
      </c>
      <c r="M12" s="260">
        <f>L12*$B$8</f>
        <v>2629.0956192660542</v>
      </c>
    </row>
    <row r="13" spans="1:14">
      <c r="A13" s="178" t="s">
        <v>168</v>
      </c>
      <c r="B13" s="311">
        <f>MAX('IceBank Account'!C8:C31)*Efficiency</f>
        <v>275</v>
      </c>
      <c r="C13" s="309"/>
      <c r="D13" s="310"/>
      <c r="F13" s="175" t="s">
        <v>165</v>
      </c>
      <c r="G13" s="175"/>
      <c r="H13" s="222">
        <f>SUM(H10:H12)</f>
        <v>5283.5574999999999</v>
      </c>
      <c r="I13" t="s">
        <v>308</v>
      </c>
      <c r="K13" s="175" t="s">
        <v>165</v>
      </c>
      <c r="L13" s="175"/>
      <c r="M13" s="222">
        <f>SUM(M10:M12)</f>
        <v>4368.5509633027514</v>
      </c>
      <c r="N13" t="s">
        <v>308</v>
      </c>
    </row>
    <row r="14" spans="1:14">
      <c r="A14" s="178" t="s">
        <v>186</v>
      </c>
      <c r="B14" s="313">
        <f>SUM('IceBank Account'!C8:C31)*Efficiency</f>
        <v>2213.75</v>
      </c>
      <c r="C14" s="309"/>
      <c r="D14" s="310"/>
      <c r="F14" s="176" t="str">
        <f>"Nov-March ("&amp;Summary!B14-7&amp;" months cooling)"</f>
        <v>Nov-March (2 months cooling)</v>
      </c>
      <c r="G14" s="284" t="s">
        <v>163</v>
      </c>
      <c r="H14" s="245" t="s">
        <v>164</v>
      </c>
      <c r="K14" s="176" t="str">
        <f>"Nov-March ("&amp;Months-7&amp;" months cooling)"</f>
        <v>Nov-March (2 months cooling)</v>
      </c>
      <c r="L14" s="284" t="s">
        <v>163</v>
      </c>
      <c r="M14" s="245" t="s">
        <v>164</v>
      </c>
    </row>
    <row r="15" spans="1:14">
      <c r="A15" s="178" t="s">
        <v>187</v>
      </c>
      <c r="B15" s="313">
        <f>B14*Weekend</f>
        <v>0</v>
      </c>
      <c r="C15" s="309"/>
      <c r="D15" s="310"/>
      <c r="F15" t="s">
        <v>190</v>
      </c>
      <c r="G15" s="283" t="s">
        <v>196</v>
      </c>
      <c r="H15" s="260">
        <f>B6</f>
        <v>19.48</v>
      </c>
      <c r="K15" t="s">
        <v>190</v>
      </c>
      <c r="L15" s="283" t="s">
        <v>196</v>
      </c>
      <c r="M15" s="260">
        <f>B6</f>
        <v>19.48</v>
      </c>
    </row>
    <row r="16" spans="1:14">
      <c r="A16" s="178" t="s">
        <v>175</v>
      </c>
      <c r="B16" s="313">
        <f>(22*B14)+(8*B15)</f>
        <v>48702.5</v>
      </c>
      <c r="C16" s="317" t="s">
        <v>295</v>
      </c>
      <c r="D16" s="310"/>
      <c r="F16" t="s">
        <v>191</v>
      </c>
      <c r="G16" s="281">
        <f>B13*Shoulder</f>
        <v>137.5</v>
      </c>
      <c r="H16" s="260">
        <f>G16*$B$7</f>
        <v>1390.125</v>
      </c>
      <c r="K16" t="s">
        <v>191</v>
      </c>
      <c r="L16" s="281">
        <f>B25</f>
        <v>85.063073394495405</v>
      </c>
      <c r="M16" s="260">
        <f>L16*$B$7</f>
        <v>859.98767201834846</v>
      </c>
    </row>
    <row r="17" spans="1:14">
      <c r="A17" s="314" t="s">
        <v>206</v>
      </c>
      <c r="B17" s="315"/>
      <c r="C17" s="315"/>
      <c r="D17" s="316"/>
      <c r="F17" t="s">
        <v>195</v>
      </c>
      <c r="G17" s="282">
        <f>B16*Shoulder</f>
        <v>24351.25</v>
      </c>
      <c r="H17" s="260">
        <f>G17*$B$8</f>
        <v>1241.9137499999999</v>
      </c>
      <c r="K17" t="s">
        <v>195</v>
      </c>
      <c r="L17" s="282">
        <f>B28</f>
        <v>25775.447247706416</v>
      </c>
      <c r="M17" s="260">
        <f>L17*$B$8</f>
        <v>1314.5478096330271</v>
      </c>
    </row>
    <row r="18" spans="1:14">
      <c r="A18" s="178" t="s">
        <v>167</v>
      </c>
      <c r="B18" s="311">
        <f>AVERAGE('Cover Page'!$I$117:$I$140)</f>
        <v>97.63426987767582</v>
      </c>
      <c r="C18" s="312" t="s">
        <v>294</v>
      </c>
      <c r="D18" s="310"/>
      <c r="F18" s="175" t="s">
        <v>165</v>
      </c>
      <c r="G18" s="175"/>
      <c r="H18" s="222">
        <f>SUM(H15:H17)</f>
        <v>2651.5187500000002</v>
      </c>
      <c r="I18" t="str">
        <f>"x "&amp;Summary!B14-7&amp;" months"</f>
        <v>x 2 months</v>
      </c>
      <c r="K18" s="175" t="s">
        <v>165</v>
      </c>
      <c r="L18" s="175"/>
      <c r="M18" s="222">
        <f>SUM(M15:M17)</f>
        <v>2194.0154816513755</v>
      </c>
      <c r="N18" t="str">
        <f>"x "&amp;Months-7&amp;" months"</f>
        <v>x 2 months</v>
      </c>
    </row>
    <row r="19" spans="1:14">
      <c r="A19" s="178" t="s">
        <v>168</v>
      </c>
      <c r="B19" s="311">
        <f>MAX('Cover Page'!$I$117:$I$140)</f>
        <v>170.12614678899081</v>
      </c>
      <c r="C19" s="309"/>
      <c r="D19" s="310"/>
    </row>
    <row r="20" spans="1:14">
      <c r="A20" s="178" t="s">
        <v>186</v>
      </c>
      <c r="B20" s="313">
        <f>SUM('Cover Page'!$I$117:$I$140)</f>
        <v>2343.2224770642197</v>
      </c>
      <c r="C20" s="309"/>
      <c r="D20" s="310"/>
      <c r="F20" t="s">
        <v>169</v>
      </c>
      <c r="H20" s="260">
        <f>H13*7+(H18*(Summary!B14-7))</f>
        <v>42287.939999999995</v>
      </c>
      <c r="I20" s="260"/>
      <c r="J20" s="260"/>
      <c r="K20" t="s">
        <v>169</v>
      </c>
      <c r="M20" s="260">
        <f>(M13*7)+(M18*(Months-7))</f>
        <v>34967.887706422014</v>
      </c>
      <c r="N20" s="260"/>
    </row>
    <row r="21" spans="1:14">
      <c r="A21" s="178" t="s">
        <v>187</v>
      </c>
      <c r="B21" s="313">
        <f>B20*Weekend</f>
        <v>0</v>
      </c>
      <c r="C21" s="309"/>
      <c r="D21" s="310"/>
      <c r="F21" s="175" t="s">
        <v>214</v>
      </c>
      <c r="G21" s="175"/>
      <c r="H21" s="222">
        <f>H20*(1+Tax)</f>
        <v>45670.975200000001</v>
      </c>
      <c r="I21" s="260"/>
      <c r="J21" s="260"/>
      <c r="K21" s="175" t="s">
        <v>214</v>
      </c>
      <c r="L21" s="175"/>
      <c r="M21" s="222">
        <f>M20*(1+Tax)</f>
        <v>37765.318722935779</v>
      </c>
      <c r="N21" s="260"/>
    </row>
    <row r="22" spans="1:14">
      <c r="A22" s="178" t="s">
        <v>175</v>
      </c>
      <c r="B22" s="313">
        <f>(22*B20)+(8*B21)</f>
        <v>51550.894495412831</v>
      </c>
      <c r="C22" s="317" t="s">
        <v>295</v>
      </c>
      <c r="D22" s="310"/>
      <c r="H22" s="260"/>
      <c r="I22" s="260"/>
      <c r="J22" s="260"/>
      <c r="L22" s="283"/>
      <c r="M22" s="260"/>
    </row>
    <row r="23" spans="1:14">
      <c r="A23" s="308" t="s">
        <v>296</v>
      </c>
      <c r="B23" s="309"/>
      <c r="C23" s="309"/>
      <c r="D23" s="310"/>
      <c r="H23" s="260"/>
      <c r="I23" s="260"/>
      <c r="J23" s="260"/>
      <c r="L23" s="281"/>
      <c r="M23" s="260"/>
    </row>
    <row r="24" spans="1:14" ht="15" thickBot="1">
      <c r="A24" s="178" t="s">
        <v>167</v>
      </c>
      <c r="B24" s="311">
        <f>B18*Shoulder</f>
        <v>48.81713493883791</v>
      </c>
      <c r="C24" s="312" t="s">
        <v>294</v>
      </c>
      <c r="D24" s="310"/>
      <c r="L24" s="282"/>
      <c r="M24" s="260"/>
    </row>
    <row r="25" spans="1:14" ht="15.5">
      <c r="A25" s="341" t="s">
        <v>168</v>
      </c>
      <c r="B25" s="342">
        <f>B19*Shoulder</f>
        <v>85.063073394495405</v>
      </c>
      <c r="C25" s="332"/>
      <c r="D25" s="343"/>
      <c r="F25" s="261" t="s">
        <v>170</v>
      </c>
      <c r="G25" s="262"/>
      <c r="L25" s="282"/>
      <c r="M25" s="260"/>
    </row>
    <row r="26" spans="1:14" ht="15.5">
      <c r="A26" s="178" t="s">
        <v>186</v>
      </c>
      <c r="B26" s="313">
        <f>B20*Shoulder</f>
        <v>1171.6112385321098</v>
      </c>
      <c r="C26" s="309"/>
      <c r="D26" s="310"/>
      <c r="F26" s="263" t="s">
        <v>166</v>
      </c>
      <c r="G26" s="264">
        <f>H21</f>
        <v>45670.975200000001</v>
      </c>
      <c r="K26" s="222"/>
      <c r="L26" s="222"/>
      <c r="M26" s="222"/>
    </row>
    <row r="27" spans="1:14" ht="16" thickBot="1">
      <c r="A27" s="178" t="s">
        <v>187</v>
      </c>
      <c r="B27" s="313">
        <f>B26*Weekend</f>
        <v>0</v>
      </c>
      <c r="C27" s="309"/>
      <c r="D27" s="310"/>
      <c r="F27" s="265" t="s">
        <v>171</v>
      </c>
      <c r="G27" s="266">
        <f>M21</f>
        <v>37765.318722935779</v>
      </c>
    </row>
    <row r="28" spans="1:14" ht="16" thickTop="1">
      <c r="A28" s="178" t="s">
        <v>175</v>
      </c>
      <c r="B28" s="313">
        <f>(22*B26)+(8*B27)</f>
        <v>25775.447247706416</v>
      </c>
      <c r="C28" s="317" t="s">
        <v>295</v>
      </c>
      <c r="D28" s="310"/>
      <c r="F28" s="267" t="s">
        <v>172</v>
      </c>
      <c r="G28" s="268">
        <f>G26-G27</f>
        <v>7905.6564770642217</v>
      </c>
      <c r="K28" s="260"/>
      <c r="L28" s="260"/>
      <c r="M28" s="260"/>
    </row>
    <row r="29" spans="1:14" ht="16" thickBot="1">
      <c r="A29" s="321"/>
      <c r="B29" s="322"/>
      <c r="C29" s="323"/>
      <c r="D29" s="324"/>
      <c r="F29" s="269" t="s">
        <v>173</v>
      </c>
      <c r="G29" s="270">
        <f>G28/G26</f>
        <v>0.17310023362637156</v>
      </c>
      <c r="K29" s="222"/>
      <c r="L29" s="222"/>
      <c r="M29" s="222"/>
    </row>
    <row r="50" spans="1:10">
      <c r="A50" s="176" t="s">
        <v>189</v>
      </c>
      <c r="G50" s="175" t="s">
        <v>203</v>
      </c>
    </row>
    <row r="51" spans="1:10">
      <c r="A51" s="191" t="s">
        <v>188</v>
      </c>
      <c r="B51" s="276">
        <f>IF('[1]IceBank Account'!F4&lt;&gt;"",'[1]IceBank Account'!F4,0)</f>
        <v>676.32850241545884</v>
      </c>
      <c r="C51" s="276">
        <f>IF('[1]IceBank Account'!K4&lt;&gt;"",'[1]IceBank Account'!K4,0)</f>
        <v>0</v>
      </c>
      <c r="D51" s="276">
        <f>IF('[1]IceBank Account'!P4&lt;&gt;"",'[1]IceBank Account'!P4,0)</f>
        <v>100</v>
      </c>
      <c r="E51" s="276">
        <f>IF('[1]IceBank Account'!U4&lt;&gt;"",'[1]IceBank Account'!U4,0)</f>
        <v>0</v>
      </c>
      <c r="G51" t="s">
        <v>207</v>
      </c>
    </row>
    <row r="52" spans="1:10">
      <c r="A52" s="249" t="s">
        <v>10</v>
      </c>
      <c r="B52" s="277" t="s">
        <v>181</v>
      </c>
      <c r="C52" s="277" t="s">
        <v>182</v>
      </c>
      <c r="D52" s="277" t="s">
        <v>183</v>
      </c>
      <c r="E52" s="277" t="s">
        <v>184</v>
      </c>
      <c r="F52" s="294" t="s">
        <v>64</v>
      </c>
      <c r="G52" t="s">
        <v>10</v>
      </c>
      <c r="H52" t="s">
        <v>208</v>
      </c>
      <c r="I52" t="s">
        <v>204</v>
      </c>
      <c r="J52" t="s">
        <v>205</v>
      </c>
    </row>
    <row r="53" spans="1:10">
      <c r="A53">
        <f>1</f>
        <v>1</v>
      </c>
      <c r="B53" s="274">
        <f>IF('[1]IceBank Account'!B8="I",'[1]IceBank Account'!E8*$B$51*Summary!$B$21,'[1]IceBank Account'!J8*Summary!$B$20)</f>
        <v>0</v>
      </c>
      <c r="C53" s="274">
        <f>IF($C$51=0,0,IF('[1]IceBank Account'!B8="I",'[1]IceBank Account'!E8*$B$51*Summary!$B$21,'[1]IceBank Account'!K8*Summary!$B$20))</f>
        <v>0</v>
      </c>
      <c r="D53" s="274">
        <f>'[1]IceBank Account'!$P$4*'[1]IceBank Account'!G8*Efficiency</f>
        <v>110.00000000000001</v>
      </c>
      <c r="E53" s="274">
        <f>'[1]IceBank Account'!$U$4*'[1]IceBank Account'!H8*Efficiency</f>
        <v>0</v>
      </c>
      <c r="F53" s="295">
        <f>SUM(B53:E53)</f>
        <v>110.00000000000001</v>
      </c>
      <c r="G53">
        <v>1</v>
      </c>
      <c r="H53" s="46">
        <f>IF('[1]IceBank Account'!B8="I",'[1]IceBank Account'!E8*$B$51*Summary!$B$21,SUM(B53:E53)*Summary!$B$16*Summary!$B$20)</f>
        <v>0</v>
      </c>
      <c r="I53" s="46">
        <v>0</v>
      </c>
      <c r="J53" s="46">
        <f>IF((H53-I53)&gt;0,H53-I53,0)</f>
        <v>0</v>
      </c>
    </row>
    <row r="54" spans="1:10">
      <c r="A54">
        <f>A53+1</f>
        <v>2</v>
      </c>
      <c r="B54" s="274">
        <f>IF('[1]IceBank Account'!B9="I",'[1]IceBank Account'!E9*$B$51*Summary!$B$21,'[1]IceBank Account'!J9*Summary!$B$20)</f>
        <v>0</v>
      </c>
      <c r="C54" s="274">
        <f>IF($C$51=0,0,IF('[1]IceBank Account'!B9="I",'[1]IceBank Account'!E9*$B$51,'[1]IceBank Account'!K9))</f>
        <v>0</v>
      </c>
      <c r="D54" s="274">
        <f>'[1]IceBank Account'!$P$4*'[1]IceBank Account'!G9*Efficiency</f>
        <v>110.00000000000001</v>
      </c>
      <c r="E54" s="274">
        <f>'[1]IceBank Account'!$U$4*'[1]IceBank Account'!H9*Efficiency</f>
        <v>0</v>
      </c>
      <c r="F54" s="295">
        <f t="shared" ref="F54:F76" si="0">SUM(B54:E54)</f>
        <v>110.00000000000001</v>
      </c>
      <c r="G54">
        <v>2</v>
      </c>
      <c r="H54" s="46">
        <f>IF('[1]IceBank Account'!B9="I",'[1]IceBank Account'!E9*$B$51*Summary!$B$21,SUM(B54:E54)*Summary!$B$16*Summary!$B$20)</f>
        <v>0</v>
      </c>
      <c r="I54" s="46">
        <v>0</v>
      </c>
      <c r="J54" s="46">
        <f t="shared" ref="J54:J76" si="1">IF((H54-I54)&gt;0,H54-I54,0)</f>
        <v>0</v>
      </c>
    </row>
    <row r="55" spans="1:10">
      <c r="A55">
        <f t="shared" ref="A55:A76" si="2">A54+1</f>
        <v>3</v>
      </c>
      <c r="B55" s="274">
        <f>IF('[1]IceBank Account'!B10="I",'[1]IceBank Account'!E10*$B$51*Summary!$B$21,'[1]IceBank Account'!J10*Summary!$B$20)</f>
        <v>0</v>
      </c>
      <c r="C55" s="274">
        <f>IF($C$51=0,0,IF('[1]IceBank Account'!B10="I",'[1]IceBank Account'!E10*$B$51,'[1]IceBank Account'!K10))</f>
        <v>0</v>
      </c>
      <c r="D55" s="274">
        <f>'[1]IceBank Account'!$P$4*'[1]IceBank Account'!G10*Efficiency</f>
        <v>110.00000000000001</v>
      </c>
      <c r="E55" s="274">
        <f>'[1]IceBank Account'!$U$4*'[1]IceBank Account'!H10*Efficiency</f>
        <v>0</v>
      </c>
      <c r="F55" s="295">
        <f t="shared" si="0"/>
        <v>110.00000000000001</v>
      </c>
      <c r="G55">
        <v>3</v>
      </c>
      <c r="H55" s="46">
        <f>IF('[1]IceBank Account'!B10="I",'[1]IceBank Account'!E10*$B$51*Summary!$B$21,SUM(B55:E55)*Summary!$B$16*Summary!$B$20)</f>
        <v>0</v>
      </c>
      <c r="I55" s="46">
        <v>0</v>
      </c>
      <c r="J55" s="46">
        <f t="shared" si="1"/>
        <v>0</v>
      </c>
    </row>
    <row r="56" spans="1:10">
      <c r="A56">
        <f t="shared" si="2"/>
        <v>4</v>
      </c>
      <c r="B56" s="274">
        <f>IF('[1]IceBank Account'!B11="I",'[1]IceBank Account'!E11*$B$51*Summary!$B$21,'[1]IceBank Account'!J11*Summary!$B$20)</f>
        <v>0</v>
      </c>
      <c r="C56" s="274">
        <f>IF($C$51=0,0,IF('[1]IceBank Account'!B11="I",'[1]IceBank Account'!E11*$B$51,'[1]IceBank Account'!K11))</f>
        <v>0</v>
      </c>
      <c r="D56" s="274">
        <f>'[1]IceBank Account'!$P$4*'[1]IceBank Account'!G11*Efficiency</f>
        <v>110.00000000000001</v>
      </c>
      <c r="E56" s="274">
        <f>'[1]IceBank Account'!$U$4*'[1]IceBank Account'!H11*Efficiency</f>
        <v>0</v>
      </c>
      <c r="F56" s="295">
        <f t="shared" si="0"/>
        <v>110.00000000000001</v>
      </c>
      <c r="G56">
        <v>4</v>
      </c>
      <c r="H56" s="46">
        <f>IF('[1]IceBank Account'!B11="I",'[1]IceBank Account'!E11*$B$51*Summary!$B$21,SUM(B56:E56)*Summary!$B$16*Summary!$B$20)</f>
        <v>0</v>
      </c>
      <c r="I56" s="46">
        <v>0</v>
      </c>
      <c r="J56" s="46">
        <f t="shared" si="1"/>
        <v>0</v>
      </c>
    </row>
    <row r="57" spans="1:10">
      <c r="A57">
        <f t="shared" si="2"/>
        <v>5</v>
      </c>
      <c r="B57" s="274">
        <f>IF('[1]IceBank Account'!B12="I",'[1]IceBank Account'!E12*$B$51*Summary!$B$21,'[1]IceBank Account'!J12*Summary!$B$20)</f>
        <v>0</v>
      </c>
      <c r="C57" s="274">
        <f>IF($C$51=0,0,IF('[1]IceBank Account'!B12="I",'[1]IceBank Account'!E12*$B$51,'[1]IceBank Account'!K12))</f>
        <v>0</v>
      </c>
      <c r="D57" s="274">
        <f>'[1]IceBank Account'!$P$4*'[1]IceBank Account'!G12*Efficiency</f>
        <v>110.00000000000001</v>
      </c>
      <c r="E57" s="274">
        <f>'[1]IceBank Account'!$U$4*'[1]IceBank Account'!H12*Efficiency</f>
        <v>0</v>
      </c>
      <c r="F57" s="295">
        <f t="shared" si="0"/>
        <v>110.00000000000001</v>
      </c>
      <c r="G57">
        <v>5</v>
      </c>
      <c r="H57" s="46">
        <f>IF('[1]IceBank Account'!B12="I",'[1]IceBank Account'!E12*$B$51*Summary!$B$21,SUM(B57:E57)*Summary!$B$16*Summary!$B$20)</f>
        <v>0</v>
      </c>
      <c r="I57" s="46">
        <v>0</v>
      </c>
      <c r="J57" s="46">
        <f t="shared" si="1"/>
        <v>0</v>
      </c>
    </row>
    <row r="58" spans="1:10">
      <c r="A58">
        <f t="shared" si="2"/>
        <v>6</v>
      </c>
      <c r="B58" s="274">
        <f>IF('[1]IceBank Account'!B13="I",'[1]IceBank Account'!E13*$B$51*Summary!$B$21,'[1]IceBank Account'!J13*Summary!$B$20)</f>
        <v>0</v>
      </c>
      <c r="C58" s="274">
        <f>IF($C$51=0,0,IF('[1]IceBank Account'!B13="I",'[1]IceBank Account'!E13*$B$51,'[1]IceBank Account'!K13))</f>
        <v>0</v>
      </c>
      <c r="D58" s="274">
        <f>'[1]IceBank Account'!$P$4*'[1]IceBank Account'!G13*Efficiency</f>
        <v>110.00000000000001</v>
      </c>
      <c r="E58" s="274">
        <f>'[1]IceBank Account'!$U$4*'[1]IceBank Account'!H13*Efficiency</f>
        <v>0</v>
      </c>
      <c r="F58" s="295">
        <f t="shared" si="0"/>
        <v>110.00000000000001</v>
      </c>
      <c r="G58">
        <v>6</v>
      </c>
      <c r="H58" s="46">
        <f>IF('[1]IceBank Account'!B13="I",'[1]IceBank Account'!E13*$B$51*Summary!$B$21,SUM(B58:E58)*Summary!$B$16*Summary!$B$20)</f>
        <v>0</v>
      </c>
      <c r="I58" s="46">
        <v>0</v>
      </c>
      <c r="J58" s="46">
        <f t="shared" si="1"/>
        <v>0</v>
      </c>
    </row>
    <row r="59" spans="1:10">
      <c r="A59">
        <f t="shared" si="2"/>
        <v>7</v>
      </c>
      <c r="B59" s="274">
        <f>IF('[1]IceBank Account'!B14="I",'[1]IceBank Account'!E14*$B$51*Summary!$B$21,'[1]IceBank Account'!J14*Summary!$B$20)</f>
        <v>0</v>
      </c>
      <c r="C59" s="274">
        <f>IF($C$51=0,0,IF('[1]IceBank Account'!B14="I",'[1]IceBank Account'!E14*$B$51,'[1]IceBank Account'!K14))</f>
        <v>0</v>
      </c>
      <c r="D59" s="274">
        <f>'[1]IceBank Account'!$P$4*'[1]IceBank Account'!G14*Efficiency</f>
        <v>110.00000000000001</v>
      </c>
      <c r="E59" s="274">
        <f>'[1]IceBank Account'!$U$4*'[1]IceBank Account'!H14*Efficiency</f>
        <v>0</v>
      </c>
      <c r="F59" s="295">
        <f t="shared" si="0"/>
        <v>110.00000000000001</v>
      </c>
      <c r="G59" s="286">
        <v>7</v>
      </c>
      <c r="H59" s="287">
        <f>IF('[1]IceBank Account'!B14="I",'[1]IceBank Account'!E14*$B$51*Summary!$B$21,SUM(B59:E59)*Summary!$B$16*Summary!$B$20)</f>
        <v>0</v>
      </c>
      <c r="I59" s="287">
        <f>H59</f>
        <v>0</v>
      </c>
      <c r="J59" s="287">
        <f t="shared" si="1"/>
        <v>0</v>
      </c>
    </row>
    <row r="60" spans="1:10">
      <c r="A60">
        <f t="shared" si="2"/>
        <v>8</v>
      </c>
      <c r="B60" s="274">
        <f>IF('[1]IceBank Account'!B15="I",'[1]IceBank Account'!E15*$B$51*Summary!$B$21,'[1]IceBank Account'!J15*Summary!$B$20)</f>
        <v>0</v>
      </c>
      <c r="C60" s="274">
        <f>IF($C$51=0,0,IF('[1]IceBank Account'!B15="I",'[1]IceBank Account'!E15*$B$51,'[1]IceBank Account'!K15))</f>
        <v>0</v>
      </c>
      <c r="D60" s="274">
        <f>'[1]IceBank Account'!$P$4*'[1]IceBank Account'!G15*Efficiency</f>
        <v>110.00000000000001</v>
      </c>
      <c r="E60" s="274">
        <f>'[1]IceBank Account'!$U$4*'[1]IceBank Account'!H15*Efficiency</f>
        <v>0</v>
      </c>
      <c r="F60" s="295">
        <f t="shared" si="0"/>
        <v>110.00000000000001</v>
      </c>
      <c r="G60" s="286">
        <v>8</v>
      </c>
      <c r="H60" s="287">
        <f>IF('[1]IceBank Account'!B15="I",'[1]IceBank Account'!E15*$B$51*Summary!$B$21,SUM(B60:E60)*Summary!$B$16*Summary!$B$20)</f>
        <v>0</v>
      </c>
      <c r="I60" s="287">
        <f t="shared" ref="I60:I62" si="3">H60</f>
        <v>0</v>
      </c>
      <c r="J60" s="287">
        <f t="shared" si="1"/>
        <v>0</v>
      </c>
    </row>
    <row r="61" spans="1:10">
      <c r="A61">
        <f t="shared" si="2"/>
        <v>9</v>
      </c>
      <c r="B61" s="274">
        <f>IF('[1]IceBank Account'!B16="I",'[1]IceBank Account'!E16*$B$51*Summary!$B$21,'[1]IceBank Account'!J16*Summary!$B$20)</f>
        <v>0</v>
      </c>
      <c r="C61" s="274">
        <f>IF($C$51=0,0,IF('[1]IceBank Account'!B16="I",'[1]IceBank Account'!E16*$B$51,'[1]IceBank Account'!K16))</f>
        <v>0</v>
      </c>
      <c r="D61" s="274">
        <f>'[1]IceBank Account'!$P$4*'[1]IceBank Account'!G16*Efficiency</f>
        <v>110.00000000000001</v>
      </c>
      <c r="E61" s="274">
        <f>'[1]IceBank Account'!$U$4*'[1]IceBank Account'!H16*Efficiency</f>
        <v>0</v>
      </c>
      <c r="F61" s="295">
        <f t="shared" si="0"/>
        <v>110.00000000000001</v>
      </c>
      <c r="G61" s="286">
        <v>9</v>
      </c>
      <c r="H61" s="287">
        <f>IF('[1]IceBank Account'!B16="I",'[1]IceBank Account'!E16*$B$51*Summary!$B$21,SUM(B61:E61)*Summary!$B$16*Summary!$B$20)</f>
        <v>0</v>
      </c>
      <c r="I61" s="287">
        <f t="shared" si="3"/>
        <v>0</v>
      </c>
      <c r="J61" s="287">
        <f t="shared" si="1"/>
        <v>0</v>
      </c>
    </row>
    <row r="62" spans="1:10">
      <c r="A62">
        <f t="shared" si="2"/>
        <v>10</v>
      </c>
      <c r="B62" s="274">
        <f>IF('[1]IceBank Account'!B17="I",'[1]IceBank Account'!E17*$B$51*Summary!$B$21,'[1]IceBank Account'!J17*Summary!$B$20)</f>
        <v>0</v>
      </c>
      <c r="C62" s="274">
        <f>IF($C$51=0,0,IF('[1]IceBank Account'!B17="I",'[1]IceBank Account'!E17*$B$51,'[1]IceBank Account'!K17))</f>
        <v>0</v>
      </c>
      <c r="D62" s="274">
        <f>'[1]IceBank Account'!$P$4*'[1]IceBank Account'!G17*Efficiency</f>
        <v>110.00000000000001</v>
      </c>
      <c r="E62" s="274">
        <f>'[1]IceBank Account'!$U$4*'[1]IceBank Account'!H17*Efficiency</f>
        <v>0</v>
      </c>
      <c r="F62" s="295">
        <f t="shared" si="0"/>
        <v>110.00000000000001</v>
      </c>
      <c r="G62" s="286">
        <v>10</v>
      </c>
      <c r="H62" s="287">
        <f>IF('[1]IceBank Account'!B17="I",'[1]IceBank Account'!E17*$B$51*Summary!$B$21,SUM(B62:E62)*Summary!$B$16*Summary!$B$20)</f>
        <v>0</v>
      </c>
      <c r="I62" s="287">
        <f t="shared" si="3"/>
        <v>0</v>
      </c>
      <c r="J62" s="287">
        <f t="shared" si="1"/>
        <v>0</v>
      </c>
    </row>
    <row r="63" spans="1:10">
      <c r="A63">
        <f t="shared" si="2"/>
        <v>11</v>
      </c>
      <c r="B63" s="274">
        <f>IF('[1]IceBank Account'!B18="I",'[1]IceBank Account'!E18*$B$51*Summary!$B$21,'[1]IceBank Account'!J18*Summary!$B$20)</f>
        <v>0</v>
      </c>
      <c r="C63" s="274">
        <f>IF($C$51=0,0,IF('[1]IceBank Account'!B18="I",'[1]IceBank Account'!E18*$B$51,'[1]IceBank Account'!K18))</f>
        <v>0</v>
      </c>
      <c r="D63" s="274">
        <f>'[1]IceBank Account'!$P$4*'[1]IceBank Account'!G18*Efficiency</f>
        <v>110.00000000000001</v>
      </c>
      <c r="E63" s="274">
        <f>'[1]IceBank Account'!$U$4*'[1]IceBank Account'!H18*Efficiency</f>
        <v>0</v>
      </c>
      <c r="F63" s="295">
        <f t="shared" si="0"/>
        <v>110.00000000000001</v>
      </c>
      <c r="G63">
        <v>11</v>
      </c>
      <c r="H63" s="46">
        <f>IF('[1]IceBank Account'!B18="I",'[1]IceBank Account'!E18*$B$51*Summary!$B$21,SUM(B63:E63)*Summary!$B$16*Summary!$B$20)</f>
        <v>0</v>
      </c>
      <c r="I63" s="288">
        <f>($I$79-SUM($I$59:$I$62,$I$71:$I$74))/8</f>
        <v>0</v>
      </c>
      <c r="J63" s="46">
        <f t="shared" si="1"/>
        <v>0</v>
      </c>
    </row>
    <row r="64" spans="1:10">
      <c r="A64">
        <f t="shared" si="2"/>
        <v>12</v>
      </c>
      <c r="B64" s="274">
        <f>IF('[1]IceBank Account'!B19="I",'[1]IceBank Account'!E19*$B$51*Summary!$B$21,'[1]IceBank Account'!J19*Summary!$B$20)</f>
        <v>0</v>
      </c>
      <c r="C64" s="274">
        <f>IF($C$51=0,0,IF('[1]IceBank Account'!B19="I",'[1]IceBank Account'!E19*$B$51,'[1]IceBank Account'!K19))</f>
        <v>0</v>
      </c>
      <c r="D64" s="274">
        <f>'[1]IceBank Account'!$P$4*'[1]IceBank Account'!G19*Efficiency</f>
        <v>110.00000000000001</v>
      </c>
      <c r="E64" s="274">
        <f>'[1]IceBank Account'!$U$4*'[1]IceBank Account'!H19*Efficiency</f>
        <v>0</v>
      </c>
      <c r="F64" s="295">
        <f t="shared" si="0"/>
        <v>110.00000000000001</v>
      </c>
      <c r="G64">
        <v>12</v>
      </c>
      <c r="H64" s="46">
        <f>IF('[1]IceBank Account'!B19="I",'[1]IceBank Account'!E19*$B$51*Summary!$B$21,SUM(B64:E64)*Summary!$B$16*Summary!$B$20)</f>
        <v>0</v>
      </c>
      <c r="I64" s="288">
        <f t="shared" ref="I64:I70" si="4">($I$79-SUM($I$59:$I$62,$I$71:$I$74))/8</f>
        <v>0</v>
      </c>
      <c r="J64" s="46">
        <f t="shared" si="1"/>
        <v>0</v>
      </c>
    </row>
    <row r="65" spans="1:10">
      <c r="A65">
        <f t="shared" si="2"/>
        <v>13</v>
      </c>
      <c r="B65" s="274">
        <f>IF('[1]IceBank Account'!B20="I",'[1]IceBank Account'!E20*$B$51*Summary!$B$21,'[1]IceBank Account'!J20*Summary!$B$20)</f>
        <v>0</v>
      </c>
      <c r="C65" s="274">
        <f>IF($C$51=0,0,IF('[1]IceBank Account'!B20="I",'[1]IceBank Account'!E20*$B$51,'[1]IceBank Account'!K20))</f>
        <v>0</v>
      </c>
      <c r="D65" s="274">
        <f>'[1]IceBank Account'!$P$4*'[1]IceBank Account'!G20*Efficiency</f>
        <v>110.00000000000001</v>
      </c>
      <c r="E65" s="274">
        <f>'[1]IceBank Account'!$U$4*'[1]IceBank Account'!H20*Efficiency</f>
        <v>0</v>
      </c>
      <c r="F65" s="295">
        <f t="shared" si="0"/>
        <v>110.00000000000001</v>
      </c>
      <c r="G65">
        <v>13</v>
      </c>
      <c r="H65" s="46">
        <f>IF('[1]IceBank Account'!B20="I",'[1]IceBank Account'!E20*$B$51*Summary!$B$21,SUM(B65:E65)*Summary!$B$16*Summary!$B$20)</f>
        <v>0</v>
      </c>
      <c r="I65" s="288">
        <f t="shared" si="4"/>
        <v>0</v>
      </c>
      <c r="J65" s="46">
        <f t="shared" si="1"/>
        <v>0</v>
      </c>
    </row>
    <row r="66" spans="1:10">
      <c r="A66">
        <f t="shared" si="2"/>
        <v>14</v>
      </c>
      <c r="B66" s="274">
        <f>IF('[1]IceBank Account'!B21="I",'[1]IceBank Account'!E21*$B$51*Summary!$B$21,'[1]IceBank Account'!J21*Summary!$B$20)</f>
        <v>0</v>
      </c>
      <c r="C66" s="274">
        <f>IF($C$51=0,0,IF('[1]IceBank Account'!B21="I",'[1]IceBank Account'!E21*$B$51,'[1]IceBank Account'!K21))</f>
        <v>0</v>
      </c>
      <c r="D66" s="274">
        <f>'[1]IceBank Account'!$P$4*'[1]IceBank Account'!G21*Efficiency</f>
        <v>110.00000000000001</v>
      </c>
      <c r="E66" s="274">
        <f>'[1]IceBank Account'!$U$4*'[1]IceBank Account'!H21*Efficiency</f>
        <v>0</v>
      </c>
      <c r="F66" s="295">
        <f t="shared" si="0"/>
        <v>110.00000000000001</v>
      </c>
      <c r="G66">
        <v>14</v>
      </c>
      <c r="H66" s="46">
        <f>IF('[1]IceBank Account'!B21="I",'[1]IceBank Account'!E21*$B$51*Summary!$B$21,SUM(B66:E66)*Summary!$B$16*Summary!$B$20)</f>
        <v>0</v>
      </c>
      <c r="I66" s="288">
        <f t="shared" si="4"/>
        <v>0</v>
      </c>
      <c r="J66" s="46">
        <f t="shared" si="1"/>
        <v>0</v>
      </c>
    </row>
    <row r="67" spans="1:10">
      <c r="A67">
        <f t="shared" si="2"/>
        <v>15</v>
      </c>
      <c r="B67" s="274">
        <f>IF('[1]IceBank Account'!B22="I",'[1]IceBank Account'!E22*$B$51*Summary!$B$21,'[1]IceBank Account'!J22*Summary!$B$20)</f>
        <v>0</v>
      </c>
      <c r="C67" s="274">
        <f>IF($C$51=0,0,IF('[1]IceBank Account'!B22="I",'[1]IceBank Account'!E22*$B$51,'[1]IceBank Account'!K22))</f>
        <v>0</v>
      </c>
      <c r="D67" s="274">
        <f>'[1]IceBank Account'!$P$4*'[1]IceBank Account'!G22*Efficiency</f>
        <v>110.00000000000001</v>
      </c>
      <c r="E67" s="274">
        <f>'[1]IceBank Account'!$U$4*'[1]IceBank Account'!H22*Efficiency</f>
        <v>0</v>
      </c>
      <c r="F67" s="295">
        <f t="shared" si="0"/>
        <v>110.00000000000001</v>
      </c>
      <c r="G67">
        <v>15</v>
      </c>
      <c r="H67" s="46">
        <f>IF('[1]IceBank Account'!B22="I",'[1]IceBank Account'!E22*$B$51*Summary!$B$21,SUM(B67:E67)*Summary!$B$16*Summary!$B$20)</f>
        <v>0</v>
      </c>
      <c r="I67" s="288">
        <f t="shared" si="4"/>
        <v>0</v>
      </c>
      <c r="J67" s="46">
        <f t="shared" si="1"/>
        <v>0</v>
      </c>
    </row>
    <row r="68" spans="1:10">
      <c r="A68">
        <f t="shared" si="2"/>
        <v>16</v>
      </c>
      <c r="B68" s="274">
        <f>IF('[1]IceBank Account'!B23="I",'[1]IceBank Account'!E23*$B$51*Summary!$B$21,'[1]IceBank Account'!J23*Summary!$B$20)</f>
        <v>0</v>
      </c>
      <c r="C68" s="274">
        <f>IF($C$51=0,0,IF('[1]IceBank Account'!B23="I",'[1]IceBank Account'!E23*$B$51,'[1]IceBank Account'!K23))</f>
        <v>0</v>
      </c>
      <c r="D68" s="274">
        <f>'[1]IceBank Account'!$P$4*'[1]IceBank Account'!G23*Efficiency</f>
        <v>0</v>
      </c>
      <c r="E68" s="274">
        <f>'[1]IceBank Account'!$U$4*'[1]IceBank Account'!H23*Efficiency</f>
        <v>0</v>
      </c>
      <c r="F68" s="295">
        <f t="shared" si="0"/>
        <v>0</v>
      </c>
      <c r="G68">
        <v>16</v>
      </c>
      <c r="H68" s="46">
        <f>IF('[1]IceBank Account'!B23="I",'[1]IceBank Account'!E23*$B$51*Summary!$B$21,SUM(B68:E68)*Summary!$B$16*Summary!$B$20)</f>
        <v>0</v>
      </c>
      <c r="I68" s="288">
        <f t="shared" si="4"/>
        <v>0</v>
      </c>
      <c r="J68" s="46">
        <f t="shared" si="1"/>
        <v>0</v>
      </c>
    </row>
    <row r="69" spans="1:10">
      <c r="A69">
        <f t="shared" si="2"/>
        <v>17</v>
      </c>
      <c r="B69" s="274">
        <f>IF('[1]IceBank Account'!B24="I",'[1]IceBank Account'!E24*$B$51*Summary!$B$21,'[1]IceBank Account'!J24*Summary!$B$20)</f>
        <v>0</v>
      </c>
      <c r="C69" s="274">
        <f>IF($C$51=0,0,IF('[1]IceBank Account'!B24="I",'[1]IceBank Account'!E24*$B$51,'[1]IceBank Account'!K24))</f>
        <v>0</v>
      </c>
      <c r="D69" s="274">
        <f>'[1]IceBank Account'!$P$4*'[1]IceBank Account'!G24*Efficiency</f>
        <v>0</v>
      </c>
      <c r="E69" s="274">
        <f>'[1]IceBank Account'!$U$4*'[1]IceBank Account'!H24*Efficiency</f>
        <v>0</v>
      </c>
      <c r="F69" s="295">
        <f t="shared" si="0"/>
        <v>0</v>
      </c>
      <c r="G69">
        <v>17</v>
      </c>
      <c r="H69" s="46">
        <f>IF('[1]IceBank Account'!B24="I",'[1]IceBank Account'!E24*$B$51*Summary!$B$21,SUM(B69:E69)*Summary!$B$16*Summary!$B$20)</f>
        <v>0</v>
      </c>
      <c r="I69" s="288">
        <f t="shared" si="4"/>
        <v>0</v>
      </c>
      <c r="J69" s="46">
        <f t="shared" si="1"/>
        <v>0</v>
      </c>
    </row>
    <row r="70" spans="1:10">
      <c r="A70">
        <f t="shared" si="2"/>
        <v>18</v>
      </c>
      <c r="B70" s="274">
        <f>IF('[1]IceBank Account'!B25="I",'[1]IceBank Account'!E25*$B$51*Summary!$B$21,'[1]IceBank Account'!J25*Summary!$B$20)</f>
        <v>0</v>
      </c>
      <c r="C70" s="274">
        <f>IF($C$51=0,0,IF('[1]IceBank Account'!B25="I",'[1]IceBank Account'!E25*$B$51,'[1]IceBank Account'!K25))</f>
        <v>0</v>
      </c>
      <c r="D70" s="274">
        <f>'[1]IceBank Account'!$P$4*'[1]IceBank Account'!G25*Efficiency</f>
        <v>0</v>
      </c>
      <c r="E70" s="274">
        <f>'[1]IceBank Account'!$U$4*'[1]IceBank Account'!H25*Efficiency</f>
        <v>0</v>
      </c>
      <c r="F70" s="295">
        <f t="shared" si="0"/>
        <v>0</v>
      </c>
      <c r="G70">
        <v>18</v>
      </c>
      <c r="H70" s="46">
        <f>IF('[1]IceBank Account'!B25="I",'[1]IceBank Account'!E25*$B$51*Summary!$B$21,SUM(B70:E70)*Summary!$B$16*Summary!$B$20)</f>
        <v>0</v>
      </c>
      <c r="I70" s="288">
        <f t="shared" si="4"/>
        <v>0</v>
      </c>
      <c r="J70" s="46">
        <f t="shared" si="1"/>
        <v>0</v>
      </c>
    </row>
    <row r="71" spans="1:10">
      <c r="A71">
        <f t="shared" si="2"/>
        <v>19</v>
      </c>
      <c r="B71" s="274">
        <f>IF('[1]IceBank Account'!B26="I",'[1]IceBank Account'!E26*$B$51*Summary!$B$21,'[1]IceBank Account'!J26*Summary!$B$20)</f>
        <v>0</v>
      </c>
      <c r="C71" s="274">
        <f>IF($C$51=0,0,IF('[1]IceBank Account'!B26="I",'[1]IceBank Account'!E26*$B$51,'[1]IceBank Account'!K26))</f>
        <v>0</v>
      </c>
      <c r="D71" s="274">
        <f>'[1]IceBank Account'!$P$4*'[1]IceBank Account'!G26*Efficiency</f>
        <v>110.00000000000001</v>
      </c>
      <c r="E71" s="274">
        <f>'[1]IceBank Account'!$U$4*'[1]IceBank Account'!H26*Efficiency</f>
        <v>0</v>
      </c>
      <c r="F71" s="295">
        <f t="shared" si="0"/>
        <v>110.00000000000001</v>
      </c>
      <c r="G71" s="286">
        <v>19</v>
      </c>
      <c r="H71" s="287">
        <f>IF('[1]IceBank Account'!B26="I",'[1]IceBank Account'!E26*$B$51*Summary!$B$21,SUM(B71:E71)*Summary!$B$16*Summary!$B$20)</f>
        <v>0</v>
      </c>
      <c r="I71" s="287">
        <f>H71</f>
        <v>0</v>
      </c>
      <c r="J71" s="287">
        <f t="shared" si="1"/>
        <v>0</v>
      </c>
    </row>
    <row r="72" spans="1:10">
      <c r="A72">
        <f t="shared" si="2"/>
        <v>20</v>
      </c>
      <c r="B72" s="274">
        <f>IF('[1]IceBank Account'!B27="I",'[1]IceBank Account'!E27*$B$51*Summary!$B$21,'[1]IceBank Account'!J27*Summary!$B$20)</f>
        <v>0</v>
      </c>
      <c r="C72" s="274">
        <f>IF($C$51=0,0,IF('[1]IceBank Account'!B27="I",'[1]IceBank Account'!E27*$B$51,'[1]IceBank Account'!K27))</f>
        <v>0</v>
      </c>
      <c r="D72" s="274">
        <f>'[1]IceBank Account'!$P$4*'[1]IceBank Account'!G27*Efficiency</f>
        <v>110.00000000000001</v>
      </c>
      <c r="E72" s="274">
        <f>'[1]IceBank Account'!$U$4*'[1]IceBank Account'!H27*Efficiency</f>
        <v>0</v>
      </c>
      <c r="F72" s="295">
        <f t="shared" si="0"/>
        <v>110.00000000000001</v>
      </c>
      <c r="G72" s="286">
        <v>20</v>
      </c>
      <c r="H72" s="287">
        <f>IF('[1]IceBank Account'!B27="I",'[1]IceBank Account'!E27*$B$51*Summary!$B$21,SUM(B72:E72)*Summary!$B$16*Summary!$B$20)</f>
        <v>0</v>
      </c>
      <c r="I72" s="287">
        <f t="shared" ref="I72:I74" si="5">H72</f>
        <v>0</v>
      </c>
      <c r="J72" s="287">
        <f t="shared" si="1"/>
        <v>0</v>
      </c>
    </row>
    <row r="73" spans="1:10">
      <c r="A73">
        <f t="shared" si="2"/>
        <v>21</v>
      </c>
      <c r="B73" s="274">
        <f>IF('[1]IceBank Account'!B28="I",'[1]IceBank Account'!E28*$B$51*Summary!$B$21,'[1]IceBank Account'!J28*Summary!$B$20)</f>
        <v>0</v>
      </c>
      <c r="C73" s="274">
        <f>IF($C$51=0,0,IF('[1]IceBank Account'!B28="I",'[1]IceBank Account'!E28*$B$51,'[1]IceBank Account'!K28))</f>
        <v>0</v>
      </c>
      <c r="D73" s="274">
        <f>'[1]IceBank Account'!$P$4*'[1]IceBank Account'!G28*Efficiency</f>
        <v>110.00000000000001</v>
      </c>
      <c r="E73" s="274">
        <f>'[1]IceBank Account'!$U$4*'[1]IceBank Account'!H28*Efficiency</f>
        <v>0</v>
      </c>
      <c r="F73" s="295">
        <f t="shared" si="0"/>
        <v>110.00000000000001</v>
      </c>
      <c r="G73" s="286">
        <v>21</v>
      </c>
      <c r="H73" s="287">
        <f>IF('[1]IceBank Account'!B28="I",'[1]IceBank Account'!E28*$B$51*Summary!$B$21,SUM(B73:E73)*Summary!$B$16*Summary!$B$20)</f>
        <v>0</v>
      </c>
      <c r="I73" s="287">
        <f t="shared" si="5"/>
        <v>0</v>
      </c>
      <c r="J73" s="287">
        <f t="shared" si="1"/>
        <v>0</v>
      </c>
    </row>
    <row r="74" spans="1:10">
      <c r="A74">
        <f t="shared" si="2"/>
        <v>22</v>
      </c>
      <c r="B74" s="274">
        <f>IF('[1]IceBank Account'!B29="I",'[1]IceBank Account'!E29*$B$51*Summary!$B$21,'[1]IceBank Account'!J29*Summary!$B$20)</f>
        <v>0</v>
      </c>
      <c r="C74" s="274">
        <f>IF($C$51=0,0,IF('[1]IceBank Account'!B29="I",'[1]IceBank Account'!E29*$B$51,'[1]IceBank Account'!K29))</f>
        <v>0</v>
      </c>
      <c r="D74" s="274">
        <f>'[1]IceBank Account'!$P$4*'[1]IceBank Account'!G29*Efficiency</f>
        <v>110.00000000000001</v>
      </c>
      <c r="E74" s="274">
        <f>'[1]IceBank Account'!$U$4*'[1]IceBank Account'!H29*Efficiency</f>
        <v>0</v>
      </c>
      <c r="F74" s="295">
        <f t="shared" si="0"/>
        <v>110.00000000000001</v>
      </c>
      <c r="G74" s="286">
        <v>22</v>
      </c>
      <c r="H74" s="287">
        <f>IF('[1]IceBank Account'!B29="I",'[1]IceBank Account'!E29*$B$51*Summary!$B$21,SUM(B74:E74)*Summary!$B$16*Summary!$B$20)</f>
        <v>0</v>
      </c>
      <c r="I74" s="287">
        <f t="shared" si="5"/>
        <v>0</v>
      </c>
      <c r="J74" s="287">
        <f t="shared" si="1"/>
        <v>0</v>
      </c>
    </row>
    <row r="75" spans="1:10">
      <c r="A75">
        <f t="shared" si="2"/>
        <v>23</v>
      </c>
      <c r="B75" s="274">
        <f>IF('[1]IceBank Account'!B30="I",'[1]IceBank Account'!E30*$B$51*Summary!$B$21,'[1]IceBank Account'!J30*Summary!$B$20)</f>
        <v>0</v>
      </c>
      <c r="C75" s="274">
        <f>IF($C$51=0,0,IF('[1]IceBank Account'!B30="I",'[1]IceBank Account'!E30*$B$51,'[1]IceBank Account'!K30))</f>
        <v>0</v>
      </c>
      <c r="D75" s="274">
        <f>'[1]IceBank Account'!$P$4*'[1]IceBank Account'!G30*Efficiency</f>
        <v>110.00000000000001</v>
      </c>
      <c r="E75" s="274">
        <f>'[1]IceBank Account'!$U$4*'[1]IceBank Account'!H30*Efficiency</f>
        <v>0</v>
      </c>
      <c r="F75" s="295">
        <f t="shared" si="0"/>
        <v>110.00000000000001</v>
      </c>
      <c r="G75">
        <v>23</v>
      </c>
      <c r="H75" s="46">
        <f>IF('[1]IceBank Account'!B30="I",'[1]IceBank Account'!E30*$B$51*Summary!$B$21,SUM(B75:E75)*Summary!$B$16*Summary!$B$20)</f>
        <v>0</v>
      </c>
      <c r="I75" s="46">
        <v>0</v>
      </c>
      <c r="J75" s="46">
        <f t="shared" si="1"/>
        <v>0</v>
      </c>
    </row>
    <row r="76" spans="1:10">
      <c r="A76">
        <f t="shared" si="2"/>
        <v>24</v>
      </c>
      <c r="B76" s="274">
        <f>IF('[1]IceBank Account'!B31="I",'[1]IceBank Account'!E31*$B$51*Summary!$B$21,'[1]IceBank Account'!J31*Summary!$B$20)</f>
        <v>0</v>
      </c>
      <c r="C76" s="274">
        <f>IF($C$51=0,0,IF('[1]IceBank Account'!B31="I",'[1]IceBank Account'!E31*$B$51,'[1]IceBank Account'!K31))</f>
        <v>0</v>
      </c>
      <c r="D76" s="274">
        <f>'[1]IceBank Account'!$P$4*'[1]IceBank Account'!G31*Efficiency</f>
        <v>110.00000000000001</v>
      </c>
      <c r="E76" s="274">
        <f>'[1]IceBank Account'!$U$4*'[1]IceBank Account'!H31*Efficiency</f>
        <v>0</v>
      </c>
      <c r="F76" s="295">
        <f t="shared" si="0"/>
        <v>110.00000000000001</v>
      </c>
      <c r="G76">
        <v>24</v>
      </c>
      <c r="H76" s="46">
        <f>IF('[1]IceBank Account'!B31="I",'[1]IceBank Account'!E31*$B$51*Summary!$B$21,SUM(B76:E76)*Summary!$B$16*Summary!$B$20)</f>
        <v>0</v>
      </c>
      <c r="I76" s="46">
        <v>0</v>
      </c>
      <c r="J76" s="46">
        <f t="shared" si="1"/>
        <v>0</v>
      </c>
    </row>
    <row r="77" spans="1:10">
      <c r="F77" s="295"/>
      <c r="I77" s="46"/>
    </row>
    <row r="78" spans="1:10">
      <c r="F78" s="295"/>
      <c r="H78" s="293" t="s">
        <v>211</v>
      </c>
      <c r="I78" s="292">
        <f>'[1]IceBank Account'!M33</f>
        <v>3956.5217391304341</v>
      </c>
    </row>
    <row r="79" spans="1:10">
      <c r="H79" s="293" t="s">
        <v>212</v>
      </c>
      <c r="I79" s="292">
        <f>I78*Summary!$B$20</f>
        <v>0</v>
      </c>
    </row>
    <row r="80" spans="1:10">
      <c r="G80" s="46"/>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80"/>
  <sheetViews>
    <sheetView showGridLines="0" topLeftCell="A4" zoomScale="80" zoomScaleNormal="80" workbookViewId="0">
      <selection activeCell="B9" sqref="B9"/>
    </sheetView>
  </sheetViews>
  <sheetFormatPr defaultRowHeight="14.5"/>
  <cols>
    <col min="1" max="1" width="33.453125" customWidth="1"/>
    <col min="2" max="2" width="15.54296875" customWidth="1"/>
    <col min="6" max="6" width="36.1796875" customWidth="1"/>
    <col min="7" max="7" width="20" customWidth="1"/>
    <col min="8" max="8" width="13.453125" customWidth="1"/>
    <col min="11" max="11" width="32.54296875" customWidth="1"/>
    <col min="12" max="12" width="16.26953125" customWidth="1"/>
    <col min="13" max="13" width="13.453125" customWidth="1"/>
  </cols>
  <sheetData>
    <row r="1" spans="1:14">
      <c r="A1" s="175" t="s">
        <v>340</v>
      </c>
    </row>
    <row r="2" spans="1:14">
      <c r="A2" t="s">
        <v>297</v>
      </c>
    </row>
    <row r="4" spans="1:14" ht="15" thickBot="1"/>
    <row r="5" spans="1:14">
      <c r="A5" s="255" t="s">
        <v>249</v>
      </c>
      <c r="B5" s="256"/>
      <c r="F5" s="175" t="s">
        <v>161</v>
      </c>
      <c r="K5" s="175" t="s">
        <v>176</v>
      </c>
    </row>
    <row r="6" spans="1:14">
      <c r="A6" s="248" t="s">
        <v>192</v>
      </c>
      <c r="B6" s="279">
        <v>59.51</v>
      </c>
      <c r="F6" t="s">
        <v>174</v>
      </c>
      <c r="G6" s="271">
        <f>MAX('IceBank Account'!$C$8:$C$31)</f>
        <v>250</v>
      </c>
      <c r="K6" t="s">
        <v>177</v>
      </c>
      <c r="L6" s="271">
        <f>Summary!$I$6</f>
        <v>250</v>
      </c>
    </row>
    <row r="7" spans="1:14">
      <c r="A7" s="248" t="s">
        <v>193</v>
      </c>
      <c r="B7" s="280">
        <v>11.57</v>
      </c>
      <c r="K7" t="s">
        <v>178</v>
      </c>
      <c r="L7">
        <f>'IceBank Account'!$Q$33</f>
        <v>4</v>
      </c>
    </row>
    <row r="8" spans="1:14">
      <c r="A8" s="248" t="s">
        <v>194</v>
      </c>
      <c r="B8" s="257">
        <v>4.5740000000000003E-2</v>
      </c>
      <c r="F8" s="191" t="s">
        <v>162</v>
      </c>
      <c r="K8" s="191" t="s">
        <v>162</v>
      </c>
    </row>
    <row r="9" spans="1:14" ht="15" thickBot="1">
      <c r="A9" s="289" t="s">
        <v>209</v>
      </c>
      <c r="B9" s="290">
        <f>Tax</f>
        <v>0.08</v>
      </c>
      <c r="F9" s="258" t="s">
        <v>306</v>
      </c>
      <c r="G9" s="284" t="s">
        <v>163</v>
      </c>
      <c r="H9" s="245" t="s">
        <v>164</v>
      </c>
      <c r="I9" s="12"/>
      <c r="K9" s="258" t="s">
        <v>306</v>
      </c>
      <c r="L9" s="284" t="s">
        <v>163</v>
      </c>
      <c r="M9" s="245" t="s">
        <v>164</v>
      </c>
      <c r="N9" s="12"/>
    </row>
    <row r="10" spans="1:14">
      <c r="A10" s="305" t="s">
        <v>202</v>
      </c>
      <c r="B10" s="312" t="s">
        <v>294</v>
      </c>
      <c r="C10" s="306"/>
      <c r="D10" s="307"/>
      <c r="F10" t="s">
        <v>190</v>
      </c>
      <c r="G10" s="283" t="s">
        <v>196</v>
      </c>
      <c r="H10" s="260">
        <f>B6</f>
        <v>59.51</v>
      </c>
      <c r="K10" t="s">
        <v>190</v>
      </c>
      <c r="L10" s="283" t="s">
        <v>196</v>
      </c>
      <c r="M10" s="260">
        <f>B6</f>
        <v>59.51</v>
      </c>
    </row>
    <row r="11" spans="1:14">
      <c r="A11" s="308" t="s">
        <v>166</v>
      </c>
      <c r="B11" s="309"/>
      <c r="C11" s="309"/>
      <c r="D11" s="310"/>
      <c r="F11" t="s">
        <v>191</v>
      </c>
      <c r="G11" s="281">
        <f>B13</f>
        <v>275</v>
      </c>
      <c r="H11" s="260">
        <f>G11*$B$7</f>
        <v>3181.75</v>
      </c>
      <c r="K11" t="s">
        <v>191</v>
      </c>
      <c r="L11" s="281">
        <f>B19</f>
        <v>170.12614678899081</v>
      </c>
      <c r="M11" s="260">
        <f>L11*$B$7</f>
        <v>1968.3595183486236</v>
      </c>
    </row>
    <row r="12" spans="1:14">
      <c r="A12" s="178" t="s">
        <v>167</v>
      </c>
      <c r="B12" s="311">
        <f>AVERAGE('IceBank Account'!C8:C31)*Efficiency</f>
        <v>92.239583333333343</v>
      </c>
      <c r="C12" s="286"/>
      <c r="D12" s="310"/>
      <c r="F12" t="s">
        <v>195</v>
      </c>
      <c r="G12" s="282">
        <f>B16</f>
        <v>48702.5</v>
      </c>
      <c r="H12" s="260">
        <f>G12*$B$8</f>
        <v>2227.6523500000003</v>
      </c>
      <c r="K12" t="s">
        <v>195</v>
      </c>
      <c r="L12" s="282">
        <f>B22</f>
        <v>51550.894495412831</v>
      </c>
      <c r="M12" s="260">
        <f>L12*$B$8</f>
        <v>2357.9379142201828</v>
      </c>
    </row>
    <row r="13" spans="1:14">
      <c r="A13" s="178" t="s">
        <v>168</v>
      </c>
      <c r="B13" s="311">
        <f>MAX('IceBank Account'!C8:C31)*Efficiency</f>
        <v>275</v>
      </c>
      <c r="C13" s="309"/>
      <c r="D13" s="310"/>
      <c r="F13" s="175" t="s">
        <v>165</v>
      </c>
      <c r="G13" s="175"/>
      <c r="H13" s="222">
        <f>SUM(H10:H12)</f>
        <v>5468.9123500000005</v>
      </c>
      <c r="I13" t="s">
        <v>308</v>
      </c>
      <c r="K13" s="175" t="s">
        <v>165</v>
      </c>
      <c r="L13" s="175"/>
      <c r="M13" s="222">
        <f>SUM(M10:M12)</f>
        <v>4385.8074325688067</v>
      </c>
      <c r="N13" t="s">
        <v>308</v>
      </c>
    </row>
    <row r="14" spans="1:14">
      <c r="A14" s="178" t="s">
        <v>186</v>
      </c>
      <c r="B14" s="313">
        <f>SUM('IceBank Account'!C8:C31)*Efficiency</f>
        <v>2213.75</v>
      </c>
      <c r="C14" s="309"/>
      <c r="D14" s="310"/>
      <c r="F14" s="176" t="str">
        <f>"Nov-March ("&amp;Months-7&amp;" months cooling)"</f>
        <v>Nov-March (2 months cooling)</v>
      </c>
      <c r="G14" s="284" t="s">
        <v>163</v>
      </c>
      <c r="H14" s="245" t="s">
        <v>164</v>
      </c>
      <c r="K14" s="176" t="str">
        <f>"Nov-March ("&amp;Months-7&amp;" months cooling)"</f>
        <v>Nov-March (2 months cooling)</v>
      </c>
      <c r="L14" s="284" t="s">
        <v>163</v>
      </c>
      <c r="M14" s="245" t="s">
        <v>164</v>
      </c>
    </row>
    <row r="15" spans="1:14">
      <c r="A15" s="178" t="s">
        <v>187</v>
      </c>
      <c r="B15" s="313">
        <f>B14*Weekend</f>
        <v>0</v>
      </c>
      <c r="C15" s="309"/>
      <c r="D15" s="310"/>
      <c r="F15" t="s">
        <v>190</v>
      </c>
      <c r="G15" s="283" t="s">
        <v>196</v>
      </c>
      <c r="H15" s="260">
        <f>B6</f>
        <v>59.51</v>
      </c>
      <c r="K15" t="s">
        <v>190</v>
      </c>
      <c r="L15" s="283" t="s">
        <v>196</v>
      </c>
      <c r="M15" s="260">
        <f>B6</f>
        <v>59.51</v>
      </c>
    </row>
    <row r="16" spans="1:14">
      <c r="A16" s="178" t="s">
        <v>175</v>
      </c>
      <c r="B16" s="313">
        <f>(22*B14)+(8*B15)</f>
        <v>48702.5</v>
      </c>
      <c r="C16" s="317" t="s">
        <v>295</v>
      </c>
      <c r="D16" s="310"/>
      <c r="F16" t="s">
        <v>191</v>
      </c>
      <c r="G16" s="281">
        <f>B13*Shoulder</f>
        <v>137.5</v>
      </c>
      <c r="H16" s="260">
        <f>G16*$B$7</f>
        <v>1590.875</v>
      </c>
      <c r="K16" t="s">
        <v>191</v>
      </c>
      <c r="L16" s="281">
        <f>B25</f>
        <v>85.063073394495405</v>
      </c>
      <c r="M16" s="260">
        <f>L16*$B$7</f>
        <v>984.17975917431181</v>
      </c>
    </row>
    <row r="17" spans="1:14">
      <c r="A17" s="314" t="s">
        <v>206</v>
      </c>
      <c r="B17" s="315"/>
      <c r="C17" s="315"/>
      <c r="D17" s="316"/>
      <c r="F17" t="s">
        <v>195</v>
      </c>
      <c r="G17" s="282">
        <f>B16*Shoulder</f>
        <v>24351.25</v>
      </c>
      <c r="H17" s="260">
        <f>G17*$B$8</f>
        <v>1113.8261750000001</v>
      </c>
      <c r="K17" t="s">
        <v>195</v>
      </c>
      <c r="L17" s="282">
        <f>B28</f>
        <v>25775.447247706416</v>
      </c>
      <c r="M17" s="260">
        <f>L17*$B$8</f>
        <v>1178.9689571100914</v>
      </c>
    </row>
    <row r="18" spans="1:14">
      <c r="A18" s="178" t="s">
        <v>167</v>
      </c>
      <c r="B18" s="311">
        <f>AVERAGE('Cover Page'!$I$117:$I$140)</f>
        <v>97.63426987767582</v>
      </c>
      <c r="C18" s="312" t="s">
        <v>294</v>
      </c>
      <c r="D18" s="310"/>
      <c r="F18" s="175" t="s">
        <v>165</v>
      </c>
      <c r="G18" s="175"/>
      <c r="H18" s="222">
        <f>SUM(H15:H17)</f>
        <v>2764.2111750000004</v>
      </c>
      <c r="I18" t="str">
        <f>"x "&amp;Months-7&amp;" months"</f>
        <v>x 2 months</v>
      </c>
      <c r="K18" s="175" t="s">
        <v>165</v>
      </c>
      <c r="L18" s="175"/>
      <c r="M18" s="222">
        <f>SUM(M15:M17)</f>
        <v>2222.6587162844035</v>
      </c>
      <c r="N18" t="str">
        <f>"x "&amp;Months-7&amp;" months"</f>
        <v>x 2 months</v>
      </c>
    </row>
    <row r="19" spans="1:14">
      <c r="A19" s="178" t="s">
        <v>168</v>
      </c>
      <c r="B19" s="311">
        <f>MAX('Cover Page'!$I$117:$I$140)</f>
        <v>170.12614678899081</v>
      </c>
      <c r="C19" s="309"/>
      <c r="D19" s="310"/>
    </row>
    <row r="20" spans="1:14">
      <c r="A20" s="178" t="s">
        <v>186</v>
      </c>
      <c r="B20" s="313">
        <f>SUM('Cover Page'!$I$117:$I$140)</f>
        <v>2343.2224770642197</v>
      </c>
      <c r="C20" s="309"/>
      <c r="D20" s="310"/>
      <c r="F20" t="s">
        <v>169</v>
      </c>
      <c r="H20" s="260">
        <f>H13*7+(H18*(Months-7))</f>
        <v>43810.808800000006</v>
      </c>
      <c r="I20" s="260"/>
      <c r="J20" s="260"/>
      <c r="K20" t="s">
        <v>169</v>
      </c>
      <c r="M20" s="260">
        <f>(M13*7)+(M18*(Months-7))</f>
        <v>35145.969460550456</v>
      </c>
      <c r="N20" s="260"/>
    </row>
    <row r="21" spans="1:14">
      <c r="A21" s="178" t="s">
        <v>187</v>
      </c>
      <c r="B21" s="313">
        <f>B20*Weekend</f>
        <v>0</v>
      </c>
      <c r="C21" s="309"/>
      <c r="D21" s="310"/>
      <c r="F21" s="175" t="s">
        <v>214</v>
      </c>
      <c r="G21" s="175"/>
      <c r="H21" s="222">
        <f>H20*(1+Tax)</f>
        <v>47315.673504000013</v>
      </c>
      <c r="I21" s="260"/>
      <c r="J21" s="260"/>
      <c r="K21" s="175" t="s">
        <v>214</v>
      </c>
      <c r="L21" s="175"/>
      <c r="M21" s="222">
        <f>M20*(1+Tax)</f>
        <v>37957.647017394498</v>
      </c>
      <c r="N21" s="260"/>
    </row>
    <row r="22" spans="1:14">
      <c r="A22" s="178" t="s">
        <v>175</v>
      </c>
      <c r="B22" s="313">
        <f>(22*B20)+(8*B21)</f>
        <v>51550.894495412831</v>
      </c>
      <c r="C22" s="317" t="s">
        <v>295</v>
      </c>
      <c r="D22" s="310"/>
      <c r="H22" s="260"/>
      <c r="I22" s="260"/>
      <c r="J22" s="260"/>
      <c r="L22" s="283"/>
      <c r="M22" s="260"/>
    </row>
    <row r="23" spans="1:14">
      <c r="A23" s="308" t="s">
        <v>296</v>
      </c>
      <c r="B23" s="309"/>
      <c r="C23" s="309"/>
      <c r="D23" s="310"/>
      <c r="H23" s="260"/>
      <c r="I23" s="260"/>
      <c r="J23" s="260"/>
      <c r="L23" s="281"/>
      <c r="M23" s="260"/>
    </row>
    <row r="24" spans="1:14" ht="15" thickBot="1">
      <c r="A24" s="178" t="s">
        <v>167</v>
      </c>
      <c r="B24" s="311">
        <f>B18*Shoulder</f>
        <v>48.81713493883791</v>
      </c>
      <c r="C24" s="312" t="s">
        <v>294</v>
      </c>
      <c r="D24" s="310"/>
      <c r="L24" s="282"/>
      <c r="M24" s="260"/>
    </row>
    <row r="25" spans="1:14" ht="15.5">
      <c r="A25" s="178" t="s">
        <v>168</v>
      </c>
      <c r="B25" s="311">
        <f>B19*Shoulder</f>
        <v>85.063073394495405</v>
      </c>
      <c r="C25" s="309"/>
      <c r="D25" s="310"/>
      <c r="F25" s="261" t="s">
        <v>170</v>
      </c>
      <c r="G25" s="262"/>
      <c r="L25" s="282"/>
      <c r="M25" s="260"/>
    </row>
    <row r="26" spans="1:14" ht="15.5">
      <c r="A26" s="178" t="s">
        <v>186</v>
      </c>
      <c r="B26" s="313">
        <f>B20*Shoulder</f>
        <v>1171.6112385321098</v>
      </c>
      <c r="C26" s="309"/>
      <c r="D26" s="310"/>
      <c r="F26" s="263" t="s">
        <v>166</v>
      </c>
      <c r="G26" s="264">
        <f>H21</f>
        <v>47315.673504000013</v>
      </c>
      <c r="K26" s="222"/>
      <c r="L26" s="222"/>
      <c r="M26" s="222"/>
    </row>
    <row r="27" spans="1:14" ht="16" thickBot="1">
      <c r="A27" s="178" t="s">
        <v>187</v>
      </c>
      <c r="B27" s="313">
        <f>B26*Weekend</f>
        <v>0</v>
      </c>
      <c r="C27" s="309"/>
      <c r="D27" s="310"/>
      <c r="F27" s="265" t="s">
        <v>171</v>
      </c>
      <c r="G27" s="266">
        <f>M21</f>
        <v>37957.647017394498</v>
      </c>
    </row>
    <row r="28" spans="1:14" ht="16" thickTop="1">
      <c r="A28" s="178" t="s">
        <v>175</v>
      </c>
      <c r="B28" s="313">
        <f>(22*B26)+(8*B27)</f>
        <v>25775.447247706416</v>
      </c>
      <c r="C28" s="317" t="s">
        <v>295</v>
      </c>
      <c r="D28" s="310"/>
      <c r="F28" s="267" t="s">
        <v>172</v>
      </c>
      <c r="G28" s="268">
        <f>G26-G27</f>
        <v>9358.0264866055149</v>
      </c>
      <c r="K28" s="260"/>
      <c r="L28" s="260"/>
      <c r="M28" s="260"/>
    </row>
    <row r="29" spans="1:14" ht="16" thickBot="1">
      <c r="A29" s="321"/>
      <c r="B29" s="322"/>
      <c r="C29" s="323"/>
      <c r="D29" s="324"/>
      <c r="F29" s="269" t="s">
        <v>173</v>
      </c>
      <c r="G29" s="270">
        <f>G28/G26</f>
        <v>0.19777857512298536</v>
      </c>
      <c r="K29" s="222"/>
      <c r="L29" s="222"/>
      <c r="M29" s="222"/>
    </row>
    <row r="31" spans="1:14">
      <c r="B31">
        <f>Weekend</f>
        <v>0</v>
      </c>
    </row>
    <row r="50" spans="1:10">
      <c r="A50" s="176" t="s">
        <v>189</v>
      </c>
      <c r="G50" s="175" t="s">
        <v>203</v>
      </c>
    </row>
    <row r="51" spans="1:10">
      <c r="A51" s="191" t="s">
        <v>188</v>
      </c>
      <c r="B51" s="276">
        <f>IF('[1]IceBank Account'!F4&lt;&gt;"",'[1]IceBank Account'!F4,0)</f>
        <v>676.32850241545884</v>
      </c>
      <c r="C51" s="276">
        <f>IF('[1]IceBank Account'!K4&lt;&gt;"",'[1]IceBank Account'!K4,0)</f>
        <v>0</v>
      </c>
      <c r="D51" s="276">
        <f>IF('[1]IceBank Account'!P4&lt;&gt;"",'[1]IceBank Account'!P4,0)</f>
        <v>100</v>
      </c>
      <c r="E51" s="276">
        <f>IF('[1]IceBank Account'!U4&lt;&gt;"",'[1]IceBank Account'!U4,0)</f>
        <v>0</v>
      </c>
      <c r="G51" t="s">
        <v>207</v>
      </c>
    </row>
    <row r="52" spans="1:10">
      <c r="A52" s="249" t="s">
        <v>10</v>
      </c>
      <c r="B52" s="277" t="s">
        <v>181</v>
      </c>
      <c r="C52" s="277" t="s">
        <v>182</v>
      </c>
      <c r="D52" s="277" t="s">
        <v>183</v>
      </c>
      <c r="E52" s="277" t="s">
        <v>184</v>
      </c>
      <c r="F52" s="294" t="s">
        <v>64</v>
      </c>
      <c r="G52" t="s">
        <v>10</v>
      </c>
      <c r="H52" t="s">
        <v>208</v>
      </c>
      <c r="I52" t="s">
        <v>204</v>
      </c>
      <c r="J52" t="s">
        <v>205</v>
      </c>
    </row>
    <row r="53" spans="1:10">
      <c r="A53">
        <f>1</f>
        <v>1</v>
      </c>
      <c r="B53" s="274">
        <f>IF('[1]IceBank Account'!B8="I",'[1]IceBank Account'!E8*$B$51*[2]Summary!$B$20,'[1]IceBank Account'!J8*[2]Summary!$B$19)</f>
        <v>351.69082125603859</v>
      </c>
      <c r="C53" s="274">
        <f>IF($C$51=0,0,IF('[1]IceBank Account'!B8="I",'[1]IceBank Account'!E8*$B$51*[2]Summary!$B$20,'[1]IceBank Account'!K8*[2]Summary!$B$19))</f>
        <v>0</v>
      </c>
      <c r="D53" s="274">
        <f>'[1]IceBank Account'!$P$4*'[1]IceBank Account'!G8*Efficiency</f>
        <v>110.00000000000001</v>
      </c>
      <c r="E53" s="274">
        <f>'[1]IceBank Account'!$U$4*'[1]IceBank Account'!H8*Efficiency</f>
        <v>0</v>
      </c>
      <c r="F53" s="295">
        <f>SUM(B53:E53)</f>
        <v>461.69082125603859</v>
      </c>
      <c r="G53">
        <v>1</v>
      </c>
      <c r="H53" s="46">
        <f>IF('[1]IceBank Account'!B8="I",'[1]IceBank Account'!E8*$B$51*[2]Summary!$B$20,SUM(B53:E53)*[2]Summary!$B$15*[2]Summary!$B$19)</f>
        <v>351.69082125603859</v>
      </c>
      <c r="I53" s="46">
        <v>0</v>
      </c>
      <c r="J53" s="46">
        <f>IF((H53-I53)&gt;0,H53-I53,0)</f>
        <v>351.69082125603859</v>
      </c>
    </row>
    <row r="54" spans="1:10">
      <c r="A54">
        <f>A53+1</f>
        <v>2</v>
      </c>
      <c r="B54" s="274">
        <f>IF('[1]IceBank Account'!B9="I",'[1]IceBank Account'!E9*$B$51*[2]Summary!$B$20,'[1]IceBank Account'!J9*[2]Summary!$B$19)</f>
        <v>351.69082125603859</v>
      </c>
      <c r="C54" s="274">
        <f>IF($C$51=0,0,IF('[1]IceBank Account'!B9="I",'[1]IceBank Account'!E9*$B$51,'[1]IceBank Account'!K9))</f>
        <v>0</v>
      </c>
      <c r="D54" s="274">
        <f>'[1]IceBank Account'!$P$4*'[1]IceBank Account'!G9*Efficiency</f>
        <v>110.00000000000001</v>
      </c>
      <c r="E54" s="274">
        <f>'[1]IceBank Account'!$U$4*'[1]IceBank Account'!H9*Efficiency</f>
        <v>0</v>
      </c>
      <c r="F54" s="295">
        <f t="shared" ref="F54:F76" si="0">SUM(B54:E54)</f>
        <v>461.69082125603859</v>
      </c>
      <c r="G54">
        <v>2</v>
      </c>
      <c r="H54" s="46">
        <f>IF('[1]IceBank Account'!B9="I",'[1]IceBank Account'!E9*$B$51*[2]Summary!$B$20,SUM(B54:E54)*[2]Summary!$B$15*[2]Summary!$B$19)</f>
        <v>351.69082125603859</v>
      </c>
      <c r="I54" s="46">
        <v>0</v>
      </c>
      <c r="J54" s="46">
        <f t="shared" ref="J54:J76" si="1">IF((H54-I54)&gt;0,H54-I54,0)</f>
        <v>351.69082125603859</v>
      </c>
    </row>
    <row r="55" spans="1:10">
      <c r="A55">
        <f t="shared" ref="A55:A76" si="2">A54+1</f>
        <v>3</v>
      </c>
      <c r="B55" s="274">
        <f>IF('[1]IceBank Account'!B10="I",'[1]IceBank Account'!E10*$B$51*[2]Summary!$B$20,'[1]IceBank Account'!J10*[2]Summary!$B$19)</f>
        <v>351.69082125603859</v>
      </c>
      <c r="C55" s="274">
        <f>IF($C$51=0,0,IF('[1]IceBank Account'!B10="I",'[1]IceBank Account'!E10*$B$51,'[1]IceBank Account'!K10))</f>
        <v>0</v>
      </c>
      <c r="D55" s="274">
        <f>'[1]IceBank Account'!$P$4*'[1]IceBank Account'!G10*Efficiency</f>
        <v>110.00000000000001</v>
      </c>
      <c r="E55" s="274">
        <f>'[1]IceBank Account'!$U$4*'[1]IceBank Account'!H10*Efficiency</f>
        <v>0</v>
      </c>
      <c r="F55" s="295">
        <f t="shared" si="0"/>
        <v>461.69082125603859</v>
      </c>
      <c r="G55">
        <v>3</v>
      </c>
      <c r="H55" s="46">
        <f>IF('[1]IceBank Account'!B10="I",'[1]IceBank Account'!E10*$B$51*[2]Summary!$B$20,SUM(B55:E55)*[2]Summary!$B$15*[2]Summary!$B$19)</f>
        <v>351.69082125603859</v>
      </c>
      <c r="I55" s="46">
        <v>0</v>
      </c>
      <c r="J55" s="46">
        <f t="shared" si="1"/>
        <v>351.69082125603859</v>
      </c>
    </row>
    <row r="56" spans="1:10">
      <c r="A56">
        <f t="shared" si="2"/>
        <v>4</v>
      </c>
      <c r="B56" s="274">
        <f>IF('[1]IceBank Account'!B11="I",'[1]IceBank Account'!E11*$B$51*[2]Summary!$B$20,'[1]IceBank Account'!J11*[2]Summary!$B$19)</f>
        <v>351.69082125603859</v>
      </c>
      <c r="C56" s="274">
        <f>IF($C$51=0,0,IF('[1]IceBank Account'!B11="I",'[1]IceBank Account'!E11*$B$51,'[1]IceBank Account'!K11))</f>
        <v>0</v>
      </c>
      <c r="D56" s="274">
        <f>'[1]IceBank Account'!$P$4*'[1]IceBank Account'!G11*Efficiency</f>
        <v>110.00000000000001</v>
      </c>
      <c r="E56" s="274">
        <f>'[1]IceBank Account'!$U$4*'[1]IceBank Account'!H11*Efficiency</f>
        <v>0</v>
      </c>
      <c r="F56" s="295">
        <f t="shared" si="0"/>
        <v>461.69082125603859</v>
      </c>
      <c r="G56">
        <v>4</v>
      </c>
      <c r="H56" s="46">
        <f>IF('[1]IceBank Account'!B11="I",'[1]IceBank Account'!E11*$B$51*[2]Summary!$B$20,SUM(B56:E56)*[2]Summary!$B$15*[2]Summary!$B$19)</f>
        <v>351.69082125603859</v>
      </c>
      <c r="I56" s="46">
        <v>0</v>
      </c>
      <c r="J56" s="46">
        <f t="shared" si="1"/>
        <v>351.69082125603859</v>
      </c>
    </row>
    <row r="57" spans="1:10">
      <c r="A57">
        <f t="shared" si="2"/>
        <v>5</v>
      </c>
      <c r="B57" s="274">
        <f>IF('[1]IceBank Account'!B12="I",'[1]IceBank Account'!E12*$B$51*[2]Summary!$B$20,'[1]IceBank Account'!J12*[2]Summary!$B$19)</f>
        <v>351.69082125603859</v>
      </c>
      <c r="C57" s="274">
        <f>IF($C$51=0,0,IF('[1]IceBank Account'!B12="I",'[1]IceBank Account'!E12*$B$51,'[1]IceBank Account'!K12))</f>
        <v>0</v>
      </c>
      <c r="D57" s="274">
        <f>'[1]IceBank Account'!$P$4*'[1]IceBank Account'!G12*Efficiency</f>
        <v>110.00000000000001</v>
      </c>
      <c r="E57" s="274">
        <f>'[1]IceBank Account'!$U$4*'[1]IceBank Account'!H12*Efficiency</f>
        <v>0</v>
      </c>
      <c r="F57" s="295">
        <f t="shared" si="0"/>
        <v>461.69082125603859</v>
      </c>
      <c r="G57">
        <v>5</v>
      </c>
      <c r="H57" s="46">
        <f>IF('[1]IceBank Account'!B12="I",'[1]IceBank Account'!E12*$B$51*[2]Summary!$B$20,SUM(B57:E57)*[2]Summary!$B$15*[2]Summary!$B$19)</f>
        <v>351.69082125603859</v>
      </c>
      <c r="I57" s="46">
        <v>0</v>
      </c>
      <c r="J57" s="46">
        <f t="shared" si="1"/>
        <v>351.69082125603859</v>
      </c>
    </row>
    <row r="58" spans="1:10">
      <c r="A58">
        <f t="shared" si="2"/>
        <v>6</v>
      </c>
      <c r="B58" s="274">
        <f>IF('[1]IceBank Account'!B13="I",'[1]IceBank Account'!E13*$B$51*[2]Summary!$B$20,'[1]IceBank Account'!J13*[2]Summary!$B$19)</f>
        <v>351.69082125603859</v>
      </c>
      <c r="C58" s="274">
        <f>IF($C$51=0,0,IF('[1]IceBank Account'!B13="I",'[1]IceBank Account'!E13*$B$51,'[1]IceBank Account'!K13))</f>
        <v>0</v>
      </c>
      <c r="D58" s="274">
        <f>'[1]IceBank Account'!$P$4*'[1]IceBank Account'!G13*Efficiency</f>
        <v>110.00000000000001</v>
      </c>
      <c r="E58" s="274">
        <f>'[1]IceBank Account'!$U$4*'[1]IceBank Account'!H13*Efficiency</f>
        <v>0</v>
      </c>
      <c r="F58" s="295">
        <f t="shared" si="0"/>
        <v>461.69082125603859</v>
      </c>
      <c r="G58">
        <v>6</v>
      </c>
      <c r="H58" s="46">
        <f>IF('[1]IceBank Account'!B13="I",'[1]IceBank Account'!E13*$B$51*[2]Summary!$B$20,SUM(B58:E58)*[2]Summary!$B$15*[2]Summary!$B$19)</f>
        <v>351.69082125603859</v>
      </c>
      <c r="I58" s="46">
        <v>0</v>
      </c>
      <c r="J58" s="46">
        <f t="shared" si="1"/>
        <v>351.69082125603859</v>
      </c>
    </row>
    <row r="59" spans="1:10">
      <c r="A59">
        <f t="shared" si="2"/>
        <v>7</v>
      </c>
      <c r="B59" s="274">
        <f>IF('[1]IceBank Account'!B14="I",'[1]IceBank Account'!E14*$B$51*[2]Summary!$B$20,'[1]IceBank Account'!J14*[2]Summary!$B$19)</f>
        <v>80</v>
      </c>
      <c r="C59" s="274">
        <f>IF($C$51=0,0,IF('[1]IceBank Account'!B14="I",'[1]IceBank Account'!E14*$B$51,'[1]IceBank Account'!K14))</f>
        <v>0</v>
      </c>
      <c r="D59" s="274">
        <f>'[1]IceBank Account'!$P$4*'[1]IceBank Account'!G14*Efficiency</f>
        <v>110.00000000000001</v>
      </c>
      <c r="E59" s="274">
        <f>'[1]IceBank Account'!$U$4*'[1]IceBank Account'!H14*Efficiency</f>
        <v>0</v>
      </c>
      <c r="F59" s="295">
        <f t="shared" si="0"/>
        <v>190</v>
      </c>
      <c r="G59" s="286">
        <v>7</v>
      </c>
      <c r="H59" s="287">
        <f>IF('[1]IceBank Account'!B14="I",'[1]IceBank Account'!E14*$B$51*[2]Summary!$B$20,SUM(B59:E59)*[2]Summary!$B$15*[2]Summary!$B$19)</f>
        <v>30.400000000000002</v>
      </c>
      <c r="I59" s="287">
        <f>H59</f>
        <v>30.400000000000002</v>
      </c>
      <c r="J59" s="287">
        <f t="shared" si="1"/>
        <v>0</v>
      </c>
    </row>
    <row r="60" spans="1:10">
      <c r="A60">
        <f t="shared" si="2"/>
        <v>8</v>
      </c>
      <c r="B60" s="274">
        <f>IF('[1]IceBank Account'!B15="I",'[1]IceBank Account'!E15*$B$51*[2]Summary!$B$20,'[1]IceBank Account'!J15*[2]Summary!$B$19)</f>
        <v>160</v>
      </c>
      <c r="C60" s="274">
        <f>IF($C$51=0,0,IF('[1]IceBank Account'!B15="I",'[1]IceBank Account'!E15*$B$51,'[1]IceBank Account'!K15))</f>
        <v>0</v>
      </c>
      <c r="D60" s="274">
        <f>'[1]IceBank Account'!$P$4*'[1]IceBank Account'!G15*Efficiency</f>
        <v>110.00000000000001</v>
      </c>
      <c r="E60" s="274">
        <f>'[1]IceBank Account'!$U$4*'[1]IceBank Account'!H15*Efficiency</f>
        <v>0</v>
      </c>
      <c r="F60" s="295">
        <f t="shared" si="0"/>
        <v>270</v>
      </c>
      <c r="G60" s="286">
        <v>8</v>
      </c>
      <c r="H60" s="287">
        <f>IF('[1]IceBank Account'!B15="I",'[1]IceBank Account'!E15*$B$51*[2]Summary!$B$20,SUM(B60:E60)*[2]Summary!$B$15*[2]Summary!$B$19)</f>
        <v>43.2</v>
      </c>
      <c r="I60" s="287">
        <f t="shared" ref="I60:I62" si="3">H60</f>
        <v>43.2</v>
      </c>
      <c r="J60" s="287">
        <f t="shared" si="1"/>
        <v>0</v>
      </c>
    </row>
    <row r="61" spans="1:10">
      <c r="A61">
        <f t="shared" si="2"/>
        <v>9</v>
      </c>
      <c r="B61" s="274">
        <f>IF('[1]IceBank Account'!B16="I",'[1]IceBank Account'!E16*$B$51*[2]Summary!$B$20,'[1]IceBank Account'!J16*[2]Summary!$B$19)</f>
        <v>240</v>
      </c>
      <c r="C61" s="274">
        <f>IF($C$51=0,0,IF('[1]IceBank Account'!B16="I",'[1]IceBank Account'!E16*$B$51,'[1]IceBank Account'!K16))</f>
        <v>0</v>
      </c>
      <c r="D61" s="274">
        <f>'[1]IceBank Account'!$P$4*'[1]IceBank Account'!G16*Efficiency</f>
        <v>110.00000000000001</v>
      </c>
      <c r="E61" s="274">
        <f>'[1]IceBank Account'!$U$4*'[1]IceBank Account'!H16*Efficiency</f>
        <v>0</v>
      </c>
      <c r="F61" s="295">
        <f t="shared" si="0"/>
        <v>350</v>
      </c>
      <c r="G61" s="286">
        <v>9</v>
      </c>
      <c r="H61" s="287">
        <f>IF('[1]IceBank Account'!B16="I",'[1]IceBank Account'!E16*$B$51*[2]Summary!$B$20,SUM(B61:E61)*[2]Summary!$B$15*[2]Summary!$B$19)</f>
        <v>56</v>
      </c>
      <c r="I61" s="287">
        <f t="shared" si="3"/>
        <v>56</v>
      </c>
      <c r="J61" s="287">
        <f t="shared" si="1"/>
        <v>0</v>
      </c>
    </row>
    <row r="62" spans="1:10">
      <c r="A62">
        <f t="shared" si="2"/>
        <v>10</v>
      </c>
      <c r="B62" s="274">
        <f>IF('[1]IceBank Account'!B17="I",'[1]IceBank Account'!E17*$B$51*[2]Summary!$B$20,'[1]IceBank Account'!J17*[2]Summary!$B$19)</f>
        <v>320</v>
      </c>
      <c r="C62" s="274">
        <f>IF($C$51=0,0,IF('[1]IceBank Account'!B17="I",'[1]IceBank Account'!E17*$B$51,'[1]IceBank Account'!K17))</f>
        <v>0</v>
      </c>
      <c r="D62" s="274">
        <f>'[1]IceBank Account'!$P$4*'[1]IceBank Account'!G17*Efficiency</f>
        <v>110.00000000000001</v>
      </c>
      <c r="E62" s="274">
        <f>'[1]IceBank Account'!$U$4*'[1]IceBank Account'!H17*Efficiency</f>
        <v>0</v>
      </c>
      <c r="F62" s="295">
        <f t="shared" si="0"/>
        <v>430</v>
      </c>
      <c r="G62" s="286">
        <v>10</v>
      </c>
      <c r="H62" s="287">
        <f>IF('[1]IceBank Account'!B17="I",'[1]IceBank Account'!E17*$B$51*[2]Summary!$B$20,SUM(B62:E62)*[2]Summary!$B$15*[2]Summary!$B$19)</f>
        <v>68.8</v>
      </c>
      <c r="I62" s="287">
        <f t="shared" si="3"/>
        <v>68.8</v>
      </c>
      <c r="J62" s="287">
        <f t="shared" si="1"/>
        <v>0</v>
      </c>
    </row>
    <row r="63" spans="1:10">
      <c r="A63">
        <f t="shared" si="2"/>
        <v>11</v>
      </c>
      <c r="B63" s="274">
        <f>IF('[1]IceBank Account'!B18="I",'[1]IceBank Account'!E18*$B$51*[2]Summary!$B$20,'[1]IceBank Account'!J18*[2]Summary!$B$19)</f>
        <v>486.95652173913044</v>
      </c>
      <c r="C63" s="274">
        <f>IF($C$51=0,0,IF('[1]IceBank Account'!B18="I",'[1]IceBank Account'!E18*$B$51,'[1]IceBank Account'!K18))</f>
        <v>0</v>
      </c>
      <c r="D63" s="274">
        <f>'[1]IceBank Account'!$P$4*'[1]IceBank Account'!G18*Efficiency</f>
        <v>110.00000000000001</v>
      </c>
      <c r="E63" s="274">
        <f>'[1]IceBank Account'!$U$4*'[1]IceBank Account'!H18*Efficiency</f>
        <v>0</v>
      </c>
      <c r="F63" s="295">
        <f t="shared" si="0"/>
        <v>596.95652173913049</v>
      </c>
      <c r="G63">
        <v>11</v>
      </c>
      <c r="H63" s="46">
        <f>IF('[1]IceBank Account'!B18="I",'[1]IceBank Account'!E18*$B$51*[2]Summary!$B$20,SUM(B63:E63)*[2]Summary!$B$15*[2]Summary!$B$19)</f>
        <v>95.513043478260897</v>
      </c>
      <c r="I63" s="288">
        <f>($I$79-SUM($I$59:$I$62,$I$71:$I$74))/8</f>
        <v>296.29082125603861</v>
      </c>
      <c r="J63" s="46">
        <f t="shared" si="1"/>
        <v>0</v>
      </c>
    </row>
    <row r="64" spans="1:10">
      <c r="A64">
        <f t="shared" si="2"/>
        <v>12</v>
      </c>
      <c r="B64" s="274">
        <f>IF('[1]IceBank Account'!B19="I",'[1]IceBank Account'!E19*$B$51*[2]Summary!$B$20,'[1]IceBank Account'!J19*[2]Summary!$B$19)</f>
        <v>486.95652173913044</v>
      </c>
      <c r="C64" s="274">
        <f>IF($C$51=0,0,IF('[1]IceBank Account'!B19="I",'[1]IceBank Account'!E19*$B$51,'[1]IceBank Account'!K19))</f>
        <v>0</v>
      </c>
      <c r="D64" s="274">
        <f>'[1]IceBank Account'!$P$4*'[1]IceBank Account'!G19*Efficiency</f>
        <v>110.00000000000001</v>
      </c>
      <c r="E64" s="274">
        <f>'[1]IceBank Account'!$U$4*'[1]IceBank Account'!H19*Efficiency</f>
        <v>0</v>
      </c>
      <c r="F64" s="295">
        <f t="shared" si="0"/>
        <v>596.95652173913049</v>
      </c>
      <c r="G64">
        <v>12</v>
      </c>
      <c r="H64" s="46">
        <f>IF('[1]IceBank Account'!B19="I",'[1]IceBank Account'!E19*$B$51*[2]Summary!$B$20,SUM(B64:E64)*[2]Summary!$B$15*[2]Summary!$B$19)</f>
        <v>95.513043478260897</v>
      </c>
      <c r="I64" s="288">
        <f t="shared" ref="I64:I70" si="4">($I$79-SUM($I$59:$I$62,$I$71:$I$74))/8</f>
        <v>296.29082125603861</v>
      </c>
      <c r="J64" s="46">
        <f t="shared" si="1"/>
        <v>0</v>
      </c>
    </row>
    <row r="65" spans="1:10">
      <c r="A65">
        <f t="shared" si="2"/>
        <v>13</v>
      </c>
      <c r="B65" s="274">
        <f>IF('[1]IceBank Account'!B20="I",'[1]IceBank Account'!E20*$B$51*[2]Summary!$B$20,'[1]IceBank Account'!J20*[2]Summary!$B$19)</f>
        <v>486.95652173913044</v>
      </c>
      <c r="C65" s="274">
        <f>IF($C$51=0,0,IF('[1]IceBank Account'!B20="I",'[1]IceBank Account'!E20*$B$51,'[1]IceBank Account'!K20))</f>
        <v>0</v>
      </c>
      <c r="D65" s="274">
        <f>'[1]IceBank Account'!$P$4*'[1]IceBank Account'!G20*Efficiency</f>
        <v>110.00000000000001</v>
      </c>
      <c r="E65" s="274">
        <f>'[1]IceBank Account'!$U$4*'[1]IceBank Account'!H20*Efficiency</f>
        <v>0</v>
      </c>
      <c r="F65" s="295">
        <f t="shared" si="0"/>
        <v>596.95652173913049</v>
      </c>
      <c r="G65">
        <v>13</v>
      </c>
      <c r="H65" s="46">
        <f>IF('[1]IceBank Account'!B20="I",'[1]IceBank Account'!E20*$B$51*[2]Summary!$B$20,SUM(B65:E65)*[2]Summary!$B$15*[2]Summary!$B$19)</f>
        <v>95.513043478260897</v>
      </c>
      <c r="I65" s="288">
        <f t="shared" si="4"/>
        <v>296.29082125603861</v>
      </c>
      <c r="J65" s="46">
        <f t="shared" si="1"/>
        <v>0</v>
      </c>
    </row>
    <row r="66" spans="1:10">
      <c r="A66">
        <f t="shared" si="2"/>
        <v>14</v>
      </c>
      <c r="B66" s="274">
        <f>IF('[1]IceBank Account'!B21="I",'[1]IceBank Account'!E21*$B$51*[2]Summary!$B$20,'[1]IceBank Account'!J21*[2]Summary!$B$19)</f>
        <v>486.95652173913044</v>
      </c>
      <c r="C66" s="274">
        <f>IF($C$51=0,0,IF('[1]IceBank Account'!B21="I",'[1]IceBank Account'!E21*$B$51,'[1]IceBank Account'!K21))</f>
        <v>0</v>
      </c>
      <c r="D66" s="274">
        <f>'[1]IceBank Account'!$P$4*'[1]IceBank Account'!G21*Efficiency</f>
        <v>110.00000000000001</v>
      </c>
      <c r="E66" s="274">
        <f>'[1]IceBank Account'!$U$4*'[1]IceBank Account'!H21*Efficiency</f>
        <v>0</v>
      </c>
      <c r="F66" s="295">
        <f t="shared" si="0"/>
        <v>596.95652173913049</v>
      </c>
      <c r="G66">
        <v>14</v>
      </c>
      <c r="H66" s="46">
        <f>IF('[1]IceBank Account'!B21="I",'[1]IceBank Account'!E21*$B$51*[2]Summary!$B$20,SUM(B66:E66)*[2]Summary!$B$15*[2]Summary!$B$19)</f>
        <v>95.513043478260897</v>
      </c>
      <c r="I66" s="288">
        <f t="shared" si="4"/>
        <v>296.29082125603861</v>
      </c>
      <c r="J66" s="46">
        <f t="shared" si="1"/>
        <v>0</v>
      </c>
    </row>
    <row r="67" spans="1:10">
      <c r="A67">
        <f t="shared" si="2"/>
        <v>15</v>
      </c>
      <c r="B67" s="274">
        <f>IF('[1]IceBank Account'!B22="I",'[1]IceBank Account'!E22*$B$51*[2]Summary!$B$20,'[1]IceBank Account'!J22*[2]Summary!$B$19)</f>
        <v>486.95652173913044</v>
      </c>
      <c r="C67" s="274">
        <f>IF($C$51=0,0,IF('[1]IceBank Account'!B22="I",'[1]IceBank Account'!E22*$B$51,'[1]IceBank Account'!K22))</f>
        <v>0</v>
      </c>
      <c r="D67" s="274">
        <f>'[1]IceBank Account'!$P$4*'[1]IceBank Account'!G22*Efficiency</f>
        <v>110.00000000000001</v>
      </c>
      <c r="E67" s="274">
        <f>'[1]IceBank Account'!$U$4*'[1]IceBank Account'!H22*Efficiency</f>
        <v>0</v>
      </c>
      <c r="F67" s="295">
        <f t="shared" si="0"/>
        <v>596.95652173913049</v>
      </c>
      <c r="G67">
        <v>15</v>
      </c>
      <c r="H67" s="46">
        <f>IF('[1]IceBank Account'!B22="I",'[1]IceBank Account'!E22*$B$51*[2]Summary!$B$20,SUM(B67:E67)*[2]Summary!$B$15*[2]Summary!$B$19)</f>
        <v>95.513043478260897</v>
      </c>
      <c r="I67" s="288">
        <f t="shared" si="4"/>
        <v>296.29082125603861</v>
      </c>
      <c r="J67" s="46">
        <f t="shared" si="1"/>
        <v>0</v>
      </c>
    </row>
    <row r="68" spans="1:10">
      <c r="A68">
        <f t="shared" si="2"/>
        <v>16</v>
      </c>
      <c r="B68" s="274">
        <f>IF('[1]IceBank Account'!B23="I",'[1]IceBank Account'!E23*$B$51*[2]Summary!$B$20,'[1]IceBank Account'!J23*[2]Summary!$B$19)</f>
        <v>0</v>
      </c>
      <c r="C68" s="274">
        <f>IF($C$51=0,0,IF('[1]IceBank Account'!B23="I",'[1]IceBank Account'!E23*$B$51,'[1]IceBank Account'!K23))</f>
        <v>0</v>
      </c>
      <c r="D68" s="274">
        <f>'[1]IceBank Account'!$P$4*'[1]IceBank Account'!G23*Efficiency</f>
        <v>0</v>
      </c>
      <c r="E68" s="274">
        <f>'[1]IceBank Account'!$U$4*'[1]IceBank Account'!H23*Efficiency</f>
        <v>0</v>
      </c>
      <c r="F68" s="295">
        <f t="shared" si="0"/>
        <v>0</v>
      </c>
      <c r="G68">
        <v>16</v>
      </c>
      <c r="H68" s="46">
        <f>IF('[1]IceBank Account'!B23="I",'[1]IceBank Account'!E23*$B$51*[2]Summary!$B$20,SUM(B68:E68)*[2]Summary!$B$15*[2]Summary!$B$19)</f>
        <v>0</v>
      </c>
      <c r="I68" s="288">
        <f t="shared" si="4"/>
        <v>296.29082125603861</v>
      </c>
      <c r="J68" s="46">
        <f t="shared" si="1"/>
        <v>0</v>
      </c>
    </row>
    <row r="69" spans="1:10">
      <c r="A69">
        <f t="shared" si="2"/>
        <v>17</v>
      </c>
      <c r="B69" s="274">
        <f>IF('[1]IceBank Account'!B24="I",'[1]IceBank Account'!E24*$B$51*[2]Summary!$B$20,'[1]IceBank Account'!J24*[2]Summary!$B$19)</f>
        <v>0</v>
      </c>
      <c r="C69" s="274">
        <f>IF($C$51=0,0,IF('[1]IceBank Account'!B24="I",'[1]IceBank Account'!E24*$B$51,'[1]IceBank Account'!K24))</f>
        <v>0</v>
      </c>
      <c r="D69" s="274">
        <f>'[1]IceBank Account'!$P$4*'[1]IceBank Account'!G24*Efficiency</f>
        <v>0</v>
      </c>
      <c r="E69" s="274">
        <f>'[1]IceBank Account'!$U$4*'[1]IceBank Account'!H24*Efficiency</f>
        <v>0</v>
      </c>
      <c r="F69" s="295">
        <f t="shared" si="0"/>
        <v>0</v>
      </c>
      <c r="G69">
        <v>17</v>
      </c>
      <c r="H69" s="46">
        <f>IF('[1]IceBank Account'!B24="I",'[1]IceBank Account'!E24*$B$51*[2]Summary!$B$20,SUM(B69:E69)*[2]Summary!$B$15*[2]Summary!$B$19)</f>
        <v>0</v>
      </c>
      <c r="I69" s="288">
        <f t="shared" si="4"/>
        <v>296.29082125603861</v>
      </c>
      <c r="J69" s="46">
        <f t="shared" si="1"/>
        <v>0</v>
      </c>
    </row>
    <row r="70" spans="1:10">
      <c r="A70">
        <f t="shared" si="2"/>
        <v>18</v>
      </c>
      <c r="B70" s="274">
        <f>IF('[1]IceBank Account'!B25="I",'[1]IceBank Account'!E25*$B$51*[2]Summary!$B$20,'[1]IceBank Account'!J25*[2]Summary!$B$19)</f>
        <v>0</v>
      </c>
      <c r="C70" s="274">
        <f>IF($C$51=0,0,IF('[1]IceBank Account'!B25="I",'[1]IceBank Account'!E25*$B$51,'[1]IceBank Account'!K25))</f>
        <v>0</v>
      </c>
      <c r="D70" s="274">
        <f>'[1]IceBank Account'!$P$4*'[1]IceBank Account'!G25*Efficiency</f>
        <v>0</v>
      </c>
      <c r="E70" s="274">
        <f>'[1]IceBank Account'!$U$4*'[1]IceBank Account'!H25*Efficiency</f>
        <v>0</v>
      </c>
      <c r="F70" s="295">
        <f t="shared" si="0"/>
        <v>0</v>
      </c>
      <c r="G70">
        <v>18</v>
      </c>
      <c r="H70" s="46">
        <f>IF('[1]IceBank Account'!B25="I",'[1]IceBank Account'!E25*$B$51*[2]Summary!$B$20,SUM(B70:E70)*[2]Summary!$B$15*[2]Summary!$B$19)</f>
        <v>0</v>
      </c>
      <c r="I70" s="288">
        <f t="shared" si="4"/>
        <v>296.29082125603861</v>
      </c>
      <c r="J70" s="46">
        <f t="shared" si="1"/>
        <v>0</v>
      </c>
    </row>
    <row r="71" spans="1:10">
      <c r="A71">
        <f t="shared" si="2"/>
        <v>19</v>
      </c>
      <c r="B71" s="274">
        <f>IF('[1]IceBank Account'!B26="I",'[1]IceBank Account'!E26*$B$51*[2]Summary!$B$20,'[1]IceBank Account'!J26*[2]Summary!$B$19)</f>
        <v>400</v>
      </c>
      <c r="C71" s="274">
        <f>IF($C$51=0,0,IF('[1]IceBank Account'!B26="I",'[1]IceBank Account'!E26*$B$51,'[1]IceBank Account'!K26))</f>
        <v>0</v>
      </c>
      <c r="D71" s="274">
        <f>'[1]IceBank Account'!$P$4*'[1]IceBank Account'!G26*Efficiency</f>
        <v>110.00000000000001</v>
      </c>
      <c r="E71" s="274">
        <f>'[1]IceBank Account'!$U$4*'[1]IceBank Account'!H26*Efficiency</f>
        <v>0</v>
      </c>
      <c r="F71" s="295">
        <f t="shared" si="0"/>
        <v>510</v>
      </c>
      <c r="G71" s="286">
        <v>19</v>
      </c>
      <c r="H71" s="287">
        <f>IF('[1]IceBank Account'!B26="I",'[1]IceBank Account'!E26*$B$51*[2]Summary!$B$20,SUM(B71:E71)*[2]Summary!$B$15*[2]Summary!$B$19)</f>
        <v>81.600000000000009</v>
      </c>
      <c r="I71" s="287">
        <f>H71</f>
        <v>81.600000000000009</v>
      </c>
      <c r="J71" s="287">
        <f t="shared" si="1"/>
        <v>0</v>
      </c>
    </row>
    <row r="72" spans="1:10">
      <c r="A72">
        <f t="shared" si="2"/>
        <v>20</v>
      </c>
      <c r="B72" s="274">
        <f>IF('[1]IceBank Account'!B27="I",'[1]IceBank Account'!E27*$B$51*[2]Summary!$B$20,'[1]IceBank Account'!J27*[2]Summary!$B$19)</f>
        <v>400</v>
      </c>
      <c r="C72" s="274">
        <f>IF($C$51=0,0,IF('[1]IceBank Account'!B27="I",'[1]IceBank Account'!E27*$B$51,'[1]IceBank Account'!K27))</f>
        <v>0</v>
      </c>
      <c r="D72" s="274">
        <f>'[1]IceBank Account'!$P$4*'[1]IceBank Account'!G27*Efficiency</f>
        <v>110.00000000000001</v>
      </c>
      <c r="E72" s="274">
        <f>'[1]IceBank Account'!$U$4*'[1]IceBank Account'!H27*Efficiency</f>
        <v>0</v>
      </c>
      <c r="F72" s="295">
        <f t="shared" si="0"/>
        <v>510</v>
      </c>
      <c r="G72" s="286">
        <v>20</v>
      </c>
      <c r="H72" s="287">
        <f>IF('[1]IceBank Account'!B27="I",'[1]IceBank Account'!E27*$B$51*[2]Summary!$B$20,SUM(B72:E72)*[2]Summary!$B$15*[2]Summary!$B$19)</f>
        <v>81.600000000000009</v>
      </c>
      <c r="I72" s="287">
        <f t="shared" ref="I72:I74" si="5">H72</f>
        <v>81.600000000000009</v>
      </c>
      <c r="J72" s="287">
        <f t="shared" si="1"/>
        <v>0</v>
      </c>
    </row>
    <row r="73" spans="1:10">
      <c r="A73">
        <f t="shared" si="2"/>
        <v>21</v>
      </c>
      <c r="B73" s="274">
        <f>IF('[1]IceBank Account'!B28="I",'[1]IceBank Account'!E28*$B$51*[2]Summary!$B$20,'[1]IceBank Account'!J28*[2]Summary!$B$19)</f>
        <v>400</v>
      </c>
      <c r="C73" s="274">
        <f>IF($C$51=0,0,IF('[1]IceBank Account'!B28="I",'[1]IceBank Account'!E28*$B$51,'[1]IceBank Account'!K28))</f>
        <v>0</v>
      </c>
      <c r="D73" s="274">
        <f>'[1]IceBank Account'!$P$4*'[1]IceBank Account'!G28*Efficiency</f>
        <v>110.00000000000001</v>
      </c>
      <c r="E73" s="274">
        <f>'[1]IceBank Account'!$U$4*'[1]IceBank Account'!H28*Efficiency</f>
        <v>0</v>
      </c>
      <c r="F73" s="295">
        <f t="shared" si="0"/>
        <v>510</v>
      </c>
      <c r="G73" s="286">
        <v>21</v>
      </c>
      <c r="H73" s="287">
        <f>IF('[1]IceBank Account'!B28="I",'[1]IceBank Account'!E28*$B$51*[2]Summary!$B$20,SUM(B73:E73)*[2]Summary!$B$15*[2]Summary!$B$19)</f>
        <v>81.600000000000009</v>
      </c>
      <c r="I73" s="287">
        <f t="shared" si="5"/>
        <v>81.600000000000009</v>
      </c>
      <c r="J73" s="287">
        <f t="shared" si="1"/>
        <v>0</v>
      </c>
    </row>
    <row r="74" spans="1:10">
      <c r="A74">
        <f t="shared" si="2"/>
        <v>22</v>
      </c>
      <c r="B74" s="274">
        <f>IF('[1]IceBank Account'!B29="I",'[1]IceBank Account'!E29*$B$51*[2]Summary!$B$20,'[1]IceBank Account'!J29*[2]Summary!$B$19)</f>
        <v>351.69082125603859</v>
      </c>
      <c r="C74" s="274">
        <f>IF($C$51=0,0,IF('[1]IceBank Account'!B29="I",'[1]IceBank Account'!E29*$B$51,'[1]IceBank Account'!K29))</f>
        <v>0</v>
      </c>
      <c r="D74" s="274">
        <f>'[1]IceBank Account'!$P$4*'[1]IceBank Account'!G29*Efficiency</f>
        <v>110.00000000000001</v>
      </c>
      <c r="E74" s="274">
        <f>'[1]IceBank Account'!$U$4*'[1]IceBank Account'!H29*Efficiency</f>
        <v>0</v>
      </c>
      <c r="F74" s="295">
        <f t="shared" si="0"/>
        <v>461.69082125603859</v>
      </c>
      <c r="G74" s="286">
        <v>22</v>
      </c>
      <c r="H74" s="287">
        <f>IF('[1]IceBank Account'!B29="I",'[1]IceBank Account'!E29*$B$51*[2]Summary!$B$20,SUM(B74:E74)*[2]Summary!$B$15*[2]Summary!$B$19)</f>
        <v>351.69082125603859</v>
      </c>
      <c r="I74" s="287">
        <f t="shared" si="5"/>
        <v>351.69082125603859</v>
      </c>
      <c r="J74" s="287">
        <f t="shared" si="1"/>
        <v>0</v>
      </c>
    </row>
    <row r="75" spans="1:10">
      <c r="A75">
        <f t="shared" si="2"/>
        <v>23</v>
      </c>
      <c r="B75" s="274">
        <f>IF('[1]IceBank Account'!B30="I",'[1]IceBank Account'!E30*$B$51*[2]Summary!$B$20,'[1]IceBank Account'!J30*[2]Summary!$B$19)</f>
        <v>351.69082125603859</v>
      </c>
      <c r="C75" s="274">
        <f>IF($C$51=0,0,IF('[1]IceBank Account'!B30="I",'[1]IceBank Account'!E30*$B$51,'[1]IceBank Account'!K30))</f>
        <v>0</v>
      </c>
      <c r="D75" s="274">
        <f>'[1]IceBank Account'!$P$4*'[1]IceBank Account'!G30*Efficiency</f>
        <v>110.00000000000001</v>
      </c>
      <c r="E75" s="274">
        <f>'[1]IceBank Account'!$U$4*'[1]IceBank Account'!H30*Efficiency</f>
        <v>0</v>
      </c>
      <c r="F75" s="295">
        <f t="shared" si="0"/>
        <v>461.69082125603859</v>
      </c>
      <c r="G75">
        <v>23</v>
      </c>
      <c r="H75" s="46">
        <f>IF('[1]IceBank Account'!B30="I",'[1]IceBank Account'!E30*$B$51*[2]Summary!$B$20,SUM(B75:E75)*[2]Summary!$B$15*[2]Summary!$B$19)</f>
        <v>351.69082125603859</v>
      </c>
      <c r="I75" s="46">
        <v>0</v>
      </c>
      <c r="J75" s="46">
        <f t="shared" si="1"/>
        <v>351.69082125603859</v>
      </c>
    </row>
    <row r="76" spans="1:10">
      <c r="A76">
        <f t="shared" si="2"/>
        <v>24</v>
      </c>
      <c r="B76" s="274">
        <f>IF('[1]IceBank Account'!B31="I",'[1]IceBank Account'!E31*$B$51*[2]Summary!$B$20,'[1]IceBank Account'!J31*[2]Summary!$B$19)</f>
        <v>351.69082125603859</v>
      </c>
      <c r="C76" s="274">
        <f>IF($C$51=0,0,IF('[1]IceBank Account'!B31="I",'[1]IceBank Account'!E31*$B$51,'[1]IceBank Account'!K31))</f>
        <v>0</v>
      </c>
      <c r="D76" s="274">
        <f>'[1]IceBank Account'!$P$4*'[1]IceBank Account'!G31*Efficiency</f>
        <v>110.00000000000001</v>
      </c>
      <c r="E76" s="274">
        <f>'[1]IceBank Account'!$U$4*'[1]IceBank Account'!H31*Efficiency</f>
        <v>0</v>
      </c>
      <c r="F76" s="295">
        <f t="shared" si="0"/>
        <v>461.69082125603859</v>
      </c>
      <c r="G76">
        <v>24</v>
      </c>
      <c r="H76" s="46">
        <f>IF('[1]IceBank Account'!B31="I",'[1]IceBank Account'!E31*$B$51*[2]Summary!$B$20,SUM(B76:E76)*[2]Summary!$B$15*[2]Summary!$B$19)</f>
        <v>351.69082125603859</v>
      </c>
      <c r="I76" s="46">
        <v>0</v>
      </c>
      <c r="J76" s="46">
        <f t="shared" si="1"/>
        <v>351.69082125603859</v>
      </c>
    </row>
    <row r="77" spans="1:10">
      <c r="F77" s="295"/>
      <c r="I77" s="46"/>
    </row>
    <row r="78" spans="1:10">
      <c r="F78" s="295"/>
      <c r="H78" s="293" t="s">
        <v>211</v>
      </c>
      <c r="I78" s="292">
        <f>'[1]IceBank Account'!M33</f>
        <v>3956.5217391304341</v>
      </c>
    </row>
    <row r="79" spans="1:10">
      <c r="H79" s="293" t="s">
        <v>212</v>
      </c>
      <c r="I79" s="292">
        <f>I78*[2]Summary!$B$19</f>
        <v>3165.2173913043475</v>
      </c>
    </row>
    <row r="80" spans="1:10">
      <c r="G80" s="4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80"/>
  <sheetViews>
    <sheetView showGridLines="0" zoomScale="80" zoomScaleNormal="80" workbookViewId="0">
      <selection activeCell="I20" sqref="I20"/>
    </sheetView>
  </sheetViews>
  <sheetFormatPr defaultRowHeight="14.5"/>
  <cols>
    <col min="1" max="1" width="33.453125" customWidth="1"/>
    <col min="2" max="2" width="15.26953125" bestFit="1" customWidth="1"/>
    <col min="6" max="6" width="36.1796875" customWidth="1"/>
    <col min="7" max="7" width="20" customWidth="1"/>
    <col min="8" max="8" width="13.453125" customWidth="1"/>
    <col min="11" max="11" width="32.54296875" customWidth="1"/>
    <col min="12" max="12" width="16.26953125" customWidth="1"/>
    <col min="13" max="13" width="13.453125" customWidth="1"/>
  </cols>
  <sheetData>
    <row r="1" spans="1:14">
      <c r="A1" s="175" t="s">
        <v>292</v>
      </c>
    </row>
    <row r="2" spans="1:14">
      <c r="A2" t="s">
        <v>298</v>
      </c>
    </row>
    <row r="4" spans="1:14" ht="15" thickBot="1"/>
    <row r="5" spans="1:14">
      <c r="A5" s="255" t="s">
        <v>249</v>
      </c>
      <c r="B5" s="256"/>
      <c r="F5" s="175" t="s">
        <v>161</v>
      </c>
      <c r="K5" s="175" t="s">
        <v>176</v>
      </c>
    </row>
    <row r="6" spans="1:14">
      <c r="A6" s="248" t="s">
        <v>192</v>
      </c>
      <c r="B6" s="279">
        <v>210.99</v>
      </c>
      <c r="F6" t="s">
        <v>174</v>
      </c>
      <c r="G6" s="271">
        <f>MAX('IceBank Account'!$C$8:$C$31)</f>
        <v>250</v>
      </c>
      <c r="K6" t="s">
        <v>177</v>
      </c>
      <c r="L6" s="271">
        <f>Summary!$I$6</f>
        <v>250</v>
      </c>
    </row>
    <row r="7" spans="1:14">
      <c r="A7" s="248" t="s">
        <v>193</v>
      </c>
      <c r="B7" s="280">
        <v>11.83</v>
      </c>
      <c r="K7" t="s">
        <v>178</v>
      </c>
      <c r="L7">
        <f>'IceBank Account'!$Q$33</f>
        <v>4</v>
      </c>
    </row>
    <row r="8" spans="1:14">
      <c r="A8" s="248" t="s">
        <v>194</v>
      </c>
      <c r="B8" s="257">
        <v>4.3580000000000001E-2</v>
      </c>
      <c r="F8" s="191" t="s">
        <v>162</v>
      </c>
      <c r="K8" s="191" t="s">
        <v>162</v>
      </c>
    </row>
    <row r="9" spans="1:14" ht="15" thickBot="1">
      <c r="A9" s="289" t="s">
        <v>209</v>
      </c>
      <c r="B9" s="290">
        <f>Tax</f>
        <v>0.08</v>
      </c>
      <c r="F9" s="258" t="s">
        <v>306</v>
      </c>
      <c r="G9" s="284" t="s">
        <v>163</v>
      </c>
      <c r="H9" s="245" t="s">
        <v>164</v>
      </c>
      <c r="I9" s="12"/>
      <c r="K9" s="258" t="s">
        <v>306</v>
      </c>
      <c r="L9" s="284" t="s">
        <v>163</v>
      </c>
      <c r="M9" s="245" t="s">
        <v>164</v>
      </c>
      <c r="N9" s="12"/>
    </row>
    <row r="10" spans="1:14">
      <c r="A10" s="305" t="s">
        <v>202</v>
      </c>
      <c r="B10" s="312" t="s">
        <v>294</v>
      </c>
      <c r="C10" s="306"/>
      <c r="D10" s="307"/>
      <c r="F10" t="s">
        <v>190</v>
      </c>
      <c r="G10" s="283" t="s">
        <v>196</v>
      </c>
      <c r="H10" s="260">
        <f>B6</f>
        <v>210.99</v>
      </c>
      <c r="K10" t="s">
        <v>190</v>
      </c>
      <c r="L10" s="283" t="s">
        <v>196</v>
      </c>
      <c r="M10" s="260">
        <f>B6</f>
        <v>210.99</v>
      </c>
    </row>
    <row r="11" spans="1:14">
      <c r="A11" s="308" t="s">
        <v>166</v>
      </c>
      <c r="B11" s="309"/>
      <c r="C11" s="309"/>
      <c r="D11" s="310"/>
      <c r="F11" t="s">
        <v>191</v>
      </c>
      <c r="G11" s="281">
        <f>B13</f>
        <v>275</v>
      </c>
      <c r="H11" s="260">
        <f>G11*$B$7</f>
        <v>3253.25</v>
      </c>
      <c r="K11" t="s">
        <v>191</v>
      </c>
      <c r="L11" s="281">
        <f>B19</f>
        <v>170.12614678899081</v>
      </c>
      <c r="M11" s="260">
        <f>L11*$B$7</f>
        <v>2012.5923165137613</v>
      </c>
    </row>
    <row r="12" spans="1:14">
      <c r="A12" s="178" t="s">
        <v>167</v>
      </c>
      <c r="B12" s="311">
        <f>AVERAGE('IceBank Account'!C8:C31)*Efficiency</f>
        <v>92.239583333333343</v>
      </c>
      <c r="C12" s="286"/>
      <c r="D12" s="310"/>
      <c r="F12" t="s">
        <v>195</v>
      </c>
      <c r="G12" s="282">
        <f>B16</f>
        <v>48702.5</v>
      </c>
      <c r="H12" s="260">
        <f>G12*$B$8</f>
        <v>2122.4549499999998</v>
      </c>
      <c r="K12" t="s">
        <v>195</v>
      </c>
      <c r="L12" s="282">
        <f>B22</f>
        <v>51550.894495412831</v>
      </c>
      <c r="M12" s="260">
        <f>L12*$B$8</f>
        <v>2246.5879821100912</v>
      </c>
    </row>
    <row r="13" spans="1:14">
      <c r="A13" s="178" t="s">
        <v>168</v>
      </c>
      <c r="B13" s="311">
        <f>MAX('IceBank Account'!C8:C31)*Efficiency</f>
        <v>275</v>
      </c>
      <c r="C13" s="309"/>
      <c r="D13" s="310"/>
      <c r="F13" s="175" t="s">
        <v>165</v>
      </c>
      <c r="G13" s="175"/>
      <c r="H13" s="222">
        <f>SUM(H10:H12)</f>
        <v>5586.6949499999992</v>
      </c>
      <c r="I13" t="s">
        <v>308</v>
      </c>
      <c r="K13" s="175" t="s">
        <v>165</v>
      </c>
      <c r="L13" s="175"/>
      <c r="M13" s="222">
        <f>SUM(M10:M12)</f>
        <v>4470.1702986238524</v>
      </c>
      <c r="N13" t="s">
        <v>308</v>
      </c>
    </row>
    <row r="14" spans="1:14">
      <c r="A14" s="178" t="s">
        <v>186</v>
      </c>
      <c r="B14" s="313">
        <f>SUM('IceBank Account'!C8:C31)*Efficiency</f>
        <v>2213.75</v>
      </c>
      <c r="C14" s="309"/>
      <c r="D14" s="310"/>
      <c r="F14" s="176" t="str">
        <f>"Nov-March ("&amp;Months-7&amp;" months cooling)"</f>
        <v>Nov-March (2 months cooling)</v>
      </c>
      <c r="G14" s="284" t="s">
        <v>163</v>
      </c>
      <c r="H14" s="245" t="s">
        <v>164</v>
      </c>
      <c r="K14" s="176" t="str">
        <f>"Nov-March ("&amp;Months-7&amp;" months cooling)"</f>
        <v>Nov-March (2 months cooling)</v>
      </c>
      <c r="L14" s="284" t="s">
        <v>163</v>
      </c>
      <c r="M14" s="245" t="s">
        <v>164</v>
      </c>
    </row>
    <row r="15" spans="1:14">
      <c r="A15" s="178" t="s">
        <v>187</v>
      </c>
      <c r="B15" s="313">
        <f>B14*Weekend</f>
        <v>0</v>
      </c>
      <c r="C15" s="309"/>
      <c r="D15" s="310"/>
      <c r="F15" t="s">
        <v>190</v>
      </c>
      <c r="G15" s="283" t="s">
        <v>196</v>
      </c>
      <c r="H15" s="260">
        <f>B6</f>
        <v>210.99</v>
      </c>
      <c r="K15" t="s">
        <v>190</v>
      </c>
      <c r="L15" s="283" t="s">
        <v>196</v>
      </c>
      <c r="M15" s="260">
        <f>B6</f>
        <v>210.99</v>
      </c>
    </row>
    <row r="16" spans="1:14">
      <c r="A16" s="178" t="s">
        <v>175</v>
      </c>
      <c r="B16" s="313">
        <f>(22*B14)+(8*B15)</f>
        <v>48702.5</v>
      </c>
      <c r="C16" s="317" t="s">
        <v>295</v>
      </c>
      <c r="D16" s="310"/>
      <c r="F16" t="s">
        <v>191</v>
      </c>
      <c r="G16" s="281">
        <f>B13*Shoulder</f>
        <v>137.5</v>
      </c>
      <c r="H16" s="260">
        <f>G16*$B$7</f>
        <v>1626.625</v>
      </c>
      <c r="K16" t="s">
        <v>191</v>
      </c>
      <c r="L16" s="281">
        <f>B25</f>
        <v>85.063073394495405</v>
      </c>
      <c r="M16" s="260">
        <f>L16*$B$7</f>
        <v>1006.2961582568806</v>
      </c>
    </row>
    <row r="17" spans="1:14">
      <c r="A17" s="314" t="s">
        <v>206</v>
      </c>
      <c r="B17" s="315"/>
      <c r="C17" s="315"/>
      <c r="D17" s="316"/>
      <c r="F17" t="s">
        <v>195</v>
      </c>
      <c r="G17" s="282">
        <f>B16*Shoulder</f>
        <v>24351.25</v>
      </c>
      <c r="H17" s="260">
        <f>G17*$B$8</f>
        <v>1061.2274749999999</v>
      </c>
      <c r="K17" t="s">
        <v>195</v>
      </c>
      <c r="L17" s="282">
        <f>B28</f>
        <v>25775.447247706416</v>
      </c>
      <c r="M17" s="260">
        <f>L17*$B$8</f>
        <v>1123.2939910550456</v>
      </c>
    </row>
    <row r="18" spans="1:14">
      <c r="A18" s="178" t="s">
        <v>167</v>
      </c>
      <c r="B18" s="311">
        <f>AVERAGE('Cover Page'!$I$117:$I$140)</f>
        <v>97.63426987767582</v>
      </c>
      <c r="C18" s="312" t="s">
        <v>294</v>
      </c>
      <c r="D18" s="310"/>
      <c r="F18" s="175" t="s">
        <v>165</v>
      </c>
      <c r="G18" s="175"/>
      <c r="H18" s="222">
        <f>SUM(H15:H17)</f>
        <v>2898.8424749999999</v>
      </c>
      <c r="I18" t="str">
        <f>"x "&amp;Months-7&amp;" months"</f>
        <v>x 2 months</v>
      </c>
      <c r="K18" s="175" t="s">
        <v>165</v>
      </c>
      <c r="L18" s="175"/>
      <c r="M18" s="222">
        <f>SUM(M15:M17)</f>
        <v>2340.5801493119261</v>
      </c>
      <c r="N18" t="str">
        <f>"x "&amp;Months-7&amp;" months"</f>
        <v>x 2 months</v>
      </c>
    </row>
    <row r="19" spans="1:14">
      <c r="A19" s="178" t="s">
        <v>168</v>
      </c>
      <c r="B19" s="311">
        <f>MAX('Cover Page'!$I$117:$I$140)</f>
        <v>170.12614678899081</v>
      </c>
      <c r="C19" s="309"/>
      <c r="D19" s="310"/>
    </row>
    <row r="20" spans="1:14">
      <c r="A20" s="178" t="s">
        <v>186</v>
      </c>
      <c r="B20" s="313">
        <f>SUM('Cover Page'!$I$117:$I$140)</f>
        <v>2343.2224770642197</v>
      </c>
      <c r="C20" s="309"/>
      <c r="D20" s="310"/>
      <c r="F20" t="s">
        <v>169</v>
      </c>
      <c r="H20" s="260">
        <f>(H13*7)+(H18*(Months-7))</f>
        <v>44904.549599999998</v>
      </c>
      <c r="I20" s="260"/>
      <c r="J20" s="260"/>
      <c r="K20" t="s">
        <v>169</v>
      </c>
      <c r="M20" s="260">
        <f>(M13*7)+(M18*(Months-7))</f>
        <v>35972.352388990817</v>
      </c>
      <c r="N20" s="260"/>
    </row>
    <row r="21" spans="1:14">
      <c r="A21" s="178" t="s">
        <v>187</v>
      </c>
      <c r="B21" s="313">
        <f>B20*Weekend</f>
        <v>0</v>
      </c>
      <c r="C21" s="309"/>
      <c r="D21" s="310"/>
      <c r="F21" s="175" t="s">
        <v>214</v>
      </c>
      <c r="G21" s="175"/>
      <c r="H21" s="222">
        <f>H20*(1+Tax)</f>
        <v>48496.913568000004</v>
      </c>
      <c r="I21" s="260"/>
      <c r="J21" s="260"/>
      <c r="K21" s="175" t="s">
        <v>214</v>
      </c>
      <c r="L21" s="175"/>
      <c r="M21" s="222">
        <f>M20*(1+Tax)</f>
        <v>38850.140580110085</v>
      </c>
      <c r="N21" s="260"/>
    </row>
    <row r="22" spans="1:14">
      <c r="A22" s="178" t="s">
        <v>175</v>
      </c>
      <c r="B22" s="313">
        <f>(22*B20)+(8*B21)</f>
        <v>51550.894495412831</v>
      </c>
      <c r="C22" s="317" t="s">
        <v>295</v>
      </c>
      <c r="D22" s="310"/>
      <c r="H22" s="260"/>
      <c r="I22" s="260"/>
      <c r="J22" s="260"/>
      <c r="L22" s="283"/>
      <c r="M22" s="260"/>
    </row>
    <row r="23" spans="1:14">
      <c r="A23" s="308" t="s">
        <v>296</v>
      </c>
      <c r="B23" s="309"/>
      <c r="C23" s="309"/>
      <c r="D23" s="310"/>
      <c r="H23" s="260"/>
      <c r="I23" s="260"/>
      <c r="J23" s="260"/>
      <c r="L23" s="281"/>
      <c r="M23" s="260"/>
    </row>
    <row r="24" spans="1:14" ht="15" thickBot="1">
      <c r="A24" s="178" t="s">
        <v>167</v>
      </c>
      <c r="B24" s="311">
        <f>B18*Shoulder</f>
        <v>48.81713493883791</v>
      </c>
      <c r="C24" s="312" t="s">
        <v>294</v>
      </c>
      <c r="D24" s="310"/>
      <c r="L24" s="282"/>
      <c r="M24" s="260"/>
    </row>
    <row r="25" spans="1:14" ht="15.5">
      <c r="A25" s="178" t="s">
        <v>168</v>
      </c>
      <c r="B25" s="311">
        <f>B19*Shoulder</f>
        <v>85.063073394495405</v>
      </c>
      <c r="C25" s="309"/>
      <c r="D25" s="310"/>
      <c r="F25" s="261" t="s">
        <v>170</v>
      </c>
      <c r="G25" s="262"/>
      <c r="L25" s="282"/>
      <c r="M25" s="260"/>
    </row>
    <row r="26" spans="1:14" ht="15.5">
      <c r="A26" s="178" t="s">
        <v>186</v>
      </c>
      <c r="B26" s="313">
        <f>B20*Shoulder</f>
        <v>1171.6112385321098</v>
      </c>
      <c r="C26" s="309"/>
      <c r="D26" s="310"/>
      <c r="F26" s="263" t="s">
        <v>166</v>
      </c>
      <c r="G26" s="264">
        <f>H21</f>
        <v>48496.913568000004</v>
      </c>
      <c r="K26" s="222"/>
      <c r="L26" s="222"/>
      <c r="M26" s="222"/>
    </row>
    <row r="27" spans="1:14" ht="16" thickBot="1">
      <c r="A27" s="178" t="s">
        <v>187</v>
      </c>
      <c r="B27" s="313">
        <f>B26*Weekend</f>
        <v>0</v>
      </c>
      <c r="C27" s="309"/>
      <c r="D27" s="310"/>
      <c r="F27" s="265" t="s">
        <v>171</v>
      </c>
      <c r="G27" s="266">
        <f>M21</f>
        <v>38850.140580110085</v>
      </c>
    </row>
    <row r="28" spans="1:14" ht="16" thickTop="1">
      <c r="A28" s="178" t="s">
        <v>175</v>
      </c>
      <c r="B28" s="313">
        <f>(22*B26)+(8*B27)</f>
        <v>25775.447247706416</v>
      </c>
      <c r="C28" s="317" t="s">
        <v>295</v>
      </c>
      <c r="D28" s="310"/>
      <c r="F28" s="267" t="s">
        <v>172</v>
      </c>
      <c r="G28" s="268">
        <f>G26-G27</f>
        <v>9646.772987889919</v>
      </c>
      <c r="K28" s="260"/>
      <c r="L28" s="260"/>
      <c r="M28" s="260"/>
    </row>
    <row r="29" spans="1:14" ht="16" thickBot="1">
      <c r="A29" s="321"/>
      <c r="B29" s="322"/>
      <c r="C29" s="323"/>
      <c r="D29" s="324"/>
      <c r="F29" s="269" t="s">
        <v>173</v>
      </c>
      <c r="G29" s="270">
        <f>G28/G26</f>
        <v>0.19891519435280525</v>
      </c>
      <c r="K29" s="222"/>
      <c r="L29" s="222"/>
      <c r="M29" s="222"/>
    </row>
    <row r="50" spans="1:10">
      <c r="A50" s="176" t="s">
        <v>189</v>
      </c>
      <c r="G50" s="175" t="s">
        <v>203</v>
      </c>
    </row>
    <row r="51" spans="1:10">
      <c r="A51" s="191" t="s">
        <v>188</v>
      </c>
      <c r="B51" s="276">
        <f>IF('[1]IceBank Account'!F4&lt;&gt;"",'[1]IceBank Account'!F4,0)</f>
        <v>676.32850241545884</v>
      </c>
      <c r="C51" s="276">
        <f>IF('[1]IceBank Account'!K4&lt;&gt;"",'[1]IceBank Account'!K4,0)</f>
        <v>0</v>
      </c>
      <c r="D51" s="276">
        <f>IF('[1]IceBank Account'!P4&lt;&gt;"",'[1]IceBank Account'!P4,0)</f>
        <v>100</v>
      </c>
      <c r="E51" s="276">
        <f>IF('[1]IceBank Account'!U4&lt;&gt;"",'[1]IceBank Account'!U4,0)</f>
        <v>0</v>
      </c>
      <c r="G51" t="s">
        <v>207</v>
      </c>
    </row>
    <row r="52" spans="1:10">
      <c r="A52" s="249" t="s">
        <v>10</v>
      </c>
      <c r="B52" s="277" t="s">
        <v>181</v>
      </c>
      <c r="C52" s="277" t="s">
        <v>182</v>
      </c>
      <c r="D52" s="277" t="s">
        <v>183</v>
      </c>
      <c r="E52" s="277" t="s">
        <v>184</v>
      </c>
      <c r="F52" s="294" t="s">
        <v>64</v>
      </c>
      <c r="G52" t="s">
        <v>10</v>
      </c>
      <c r="H52" t="s">
        <v>208</v>
      </c>
      <c r="I52" t="s">
        <v>204</v>
      </c>
      <c r="J52" t="s">
        <v>205</v>
      </c>
    </row>
    <row r="53" spans="1:10">
      <c r="A53">
        <f>1</f>
        <v>1</v>
      </c>
      <c r="B53" s="274">
        <f>IF('[1]IceBank Account'!B8="I",'[1]IceBank Account'!E8*$B$51*[2]Summary!$B$20,'[1]IceBank Account'!J8*[2]Summary!$B$19)</f>
        <v>351.69082125603859</v>
      </c>
      <c r="C53" s="274">
        <f>IF($C$51=0,0,IF('[1]IceBank Account'!B8="I",'[1]IceBank Account'!E8*$B$51*[2]Summary!$B$20,'[1]IceBank Account'!K8*[2]Summary!$B$19))</f>
        <v>0</v>
      </c>
      <c r="D53" s="274">
        <f>'[1]IceBank Account'!$P$4*'[1]IceBank Account'!G8*Efficiency</f>
        <v>110.00000000000001</v>
      </c>
      <c r="E53" s="274">
        <f>'[1]IceBank Account'!$U$4*'[1]IceBank Account'!H8*Efficiency</f>
        <v>0</v>
      </c>
      <c r="F53" s="295">
        <f>SUM(B53:E53)</f>
        <v>461.69082125603859</v>
      </c>
      <c r="G53">
        <v>1</v>
      </c>
      <c r="H53" s="46">
        <f>IF('[1]IceBank Account'!B8="I",'[1]IceBank Account'!E8*$B$51*[2]Summary!$B$20,SUM(B53:E53)*[2]Summary!$B$15*[2]Summary!$B$19)</f>
        <v>351.69082125603859</v>
      </c>
      <c r="I53" s="46">
        <v>0</v>
      </c>
      <c r="J53" s="46">
        <f>IF((H53-I53)&gt;0,H53-I53,0)</f>
        <v>351.69082125603859</v>
      </c>
    </row>
    <row r="54" spans="1:10">
      <c r="A54">
        <f>A53+1</f>
        <v>2</v>
      </c>
      <c r="B54" s="274">
        <f>IF('[1]IceBank Account'!B9="I",'[1]IceBank Account'!E9*$B$51*[2]Summary!$B$20,'[1]IceBank Account'!J9*[2]Summary!$B$19)</f>
        <v>351.69082125603859</v>
      </c>
      <c r="C54" s="274">
        <f>IF($C$51=0,0,IF('[1]IceBank Account'!B9="I",'[1]IceBank Account'!E9*$B$51,'[1]IceBank Account'!K9))</f>
        <v>0</v>
      </c>
      <c r="D54" s="274">
        <f>'[1]IceBank Account'!$P$4*'[1]IceBank Account'!G9*Efficiency</f>
        <v>110.00000000000001</v>
      </c>
      <c r="E54" s="274">
        <f>'[1]IceBank Account'!$U$4*'[1]IceBank Account'!H9*Efficiency</f>
        <v>0</v>
      </c>
      <c r="F54" s="295">
        <f t="shared" ref="F54:F76" si="0">SUM(B54:E54)</f>
        <v>461.69082125603859</v>
      </c>
      <c r="G54">
        <v>2</v>
      </c>
      <c r="H54" s="46">
        <f>IF('[1]IceBank Account'!B9="I",'[1]IceBank Account'!E9*$B$51*[2]Summary!$B$20,SUM(B54:E54)*[2]Summary!$B$15*[2]Summary!$B$19)</f>
        <v>351.69082125603859</v>
      </c>
      <c r="I54" s="46">
        <v>0</v>
      </c>
      <c r="J54" s="46">
        <f t="shared" ref="J54:J76" si="1">IF((H54-I54)&gt;0,H54-I54,0)</f>
        <v>351.69082125603859</v>
      </c>
    </row>
    <row r="55" spans="1:10">
      <c r="A55">
        <f t="shared" ref="A55:A76" si="2">A54+1</f>
        <v>3</v>
      </c>
      <c r="B55" s="274">
        <f>IF('[1]IceBank Account'!B10="I",'[1]IceBank Account'!E10*$B$51*[2]Summary!$B$20,'[1]IceBank Account'!J10*[2]Summary!$B$19)</f>
        <v>351.69082125603859</v>
      </c>
      <c r="C55" s="274">
        <f>IF($C$51=0,0,IF('[1]IceBank Account'!B10="I",'[1]IceBank Account'!E10*$B$51,'[1]IceBank Account'!K10))</f>
        <v>0</v>
      </c>
      <c r="D55" s="274">
        <f>'[1]IceBank Account'!$P$4*'[1]IceBank Account'!G10*Efficiency</f>
        <v>110.00000000000001</v>
      </c>
      <c r="E55" s="274">
        <f>'[1]IceBank Account'!$U$4*'[1]IceBank Account'!H10*Efficiency</f>
        <v>0</v>
      </c>
      <c r="F55" s="295">
        <f t="shared" si="0"/>
        <v>461.69082125603859</v>
      </c>
      <c r="G55">
        <v>3</v>
      </c>
      <c r="H55" s="46">
        <f>IF('[1]IceBank Account'!B10="I",'[1]IceBank Account'!E10*$B$51*[2]Summary!$B$20,SUM(B55:E55)*[2]Summary!$B$15*[2]Summary!$B$19)</f>
        <v>351.69082125603859</v>
      </c>
      <c r="I55" s="46">
        <v>0</v>
      </c>
      <c r="J55" s="46">
        <f t="shared" si="1"/>
        <v>351.69082125603859</v>
      </c>
    </row>
    <row r="56" spans="1:10">
      <c r="A56">
        <f t="shared" si="2"/>
        <v>4</v>
      </c>
      <c r="B56" s="274">
        <f>IF('[1]IceBank Account'!B11="I",'[1]IceBank Account'!E11*$B$51*[2]Summary!$B$20,'[1]IceBank Account'!J11*[2]Summary!$B$19)</f>
        <v>351.69082125603859</v>
      </c>
      <c r="C56" s="274">
        <f>IF($C$51=0,0,IF('[1]IceBank Account'!B11="I",'[1]IceBank Account'!E11*$B$51,'[1]IceBank Account'!K11))</f>
        <v>0</v>
      </c>
      <c r="D56" s="274">
        <f>'[1]IceBank Account'!$P$4*'[1]IceBank Account'!G11*Efficiency</f>
        <v>110.00000000000001</v>
      </c>
      <c r="E56" s="274">
        <f>'[1]IceBank Account'!$U$4*'[1]IceBank Account'!H11*Efficiency</f>
        <v>0</v>
      </c>
      <c r="F56" s="295">
        <f t="shared" si="0"/>
        <v>461.69082125603859</v>
      </c>
      <c r="G56">
        <v>4</v>
      </c>
      <c r="H56" s="46">
        <f>IF('[1]IceBank Account'!B11="I",'[1]IceBank Account'!E11*$B$51*[2]Summary!$B$20,SUM(B56:E56)*[2]Summary!$B$15*[2]Summary!$B$19)</f>
        <v>351.69082125603859</v>
      </c>
      <c r="I56" s="46">
        <v>0</v>
      </c>
      <c r="J56" s="46">
        <f t="shared" si="1"/>
        <v>351.69082125603859</v>
      </c>
    </row>
    <row r="57" spans="1:10">
      <c r="A57">
        <f t="shared" si="2"/>
        <v>5</v>
      </c>
      <c r="B57" s="274">
        <f>IF('[1]IceBank Account'!B12="I",'[1]IceBank Account'!E12*$B$51*[2]Summary!$B$20,'[1]IceBank Account'!J12*[2]Summary!$B$19)</f>
        <v>351.69082125603859</v>
      </c>
      <c r="C57" s="274">
        <f>IF($C$51=0,0,IF('[1]IceBank Account'!B12="I",'[1]IceBank Account'!E12*$B$51,'[1]IceBank Account'!K12))</f>
        <v>0</v>
      </c>
      <c r="D57" s="274">
        <f>'[1]IceBank Account'!$P$4*'[1]IceBank Account'!G12*Efficiency</f>
        <v>110.00000000000001</v>
      </c>
      <c r="E57" s="274">
        <f>'[1]IceBank Account'!$U$4*'[1]IceBank Account'!H12*Efficiency</f>
        <v>0</v>
      </c>
      <c r="F57" s="295">
        <f t="shared" si="0"/>
        <v>461.69082125603859</v>
      </c>
      <c r="G57">
        <v>5</v>
      </c>
      <c r="H57" s="46">
        <f>IF('[1]IceBank Account'!B12="I",'[1]IceBank Account'!E12*$B$51*[2]Summary!$B$20,SUM(B57:E57)*[2]Summary!$B$15*[2]Summary!$B$19)</f>
        <v>351.69082125603859</v>
      </c>
      <c r="I57" s="46">
        <v>0</v>
      </c>
      <c r="J57" s="46">
        <f t="shared" si="1"/>
        <v>351.69082125603859</v>
      </c>
    </row>
    <row r="58" spans="1:10">
      <c r="A58">
        <f t="shared" si="2"/>
        <v>6</v>
      </c>
      <c r="B58" s="274">
        <f>IF('[1]IceBank Account'!B13="I",'[1]IceBank Account'!E13*$B$51*[2]Summary!$B$20,'[1]IceBank Account'!J13*[2]Summary!$B$19)</f>
        <v>351.69082125603859</v>
      </c>
      <c r="C58" s="274">
        <f>IF($C$51=0,0,IF('[1]IceBank Account'!B13="I",'[1]IceBank Account'!E13*$B$51,'[1]IceBank Account'!K13))</f>
        <v>0</v>
      </c>
      <c r="D58" s="274">
        <f>'[1]IceBank Account'!$P$4*'[1]IceBank Account'!G13*Efficiency</f>
        <v>110.00000000000001</v>
      </c>
      <c r="E58" s="274">
        <f>'[1]IceBank Account'!$U$4*'[1]IceBank Account'!H13*Efficiency</f>
        <v>0</v>
      </c>
      <c r="F58" s="295">
        <f t="shared" si="0"/>
        <v>461.69082125603859</v>
      </c>
      <c r="G58">
        <v>6</v>
      </c>
      <c r="H58" s="46">
        <f>IF('[1]IceBank Account'!B13="I",'[1]IceBank Account'!E13*$B$51*[2]Summary!$B$20,SUM(B58:E58)*[2]Summary!$B$15*[2]Summary!$B$19)</f>
        <v>351.69082125603859</v>
      </c>
      <c r="I58" s="46">
        <v>0</v>
      </c>
      <c r="J58" s="46">
        <f t="shared" si="1"/>
        <v>351.69082125603859</v>
      </c>
    </row>
    <row r="59" spans="1:10">
      <c r="A59">
        <f t="shared" si="2"/>
        <v>7</v>
      </c>
      <c r="B59" s="274">
        <f>IF('[1]IceBank Account'!B14="I",'[1]IceBank Account'!E14*$B$51*[2]Summary!$B$20,'[1]IceBank Account'!J14*[2]Summary!$B$19)</f>
        <v>80</v>
      </c>
      <c r="C59" s="274">
        <f>IF($C$51=0,0,IF('[1]IceBank Account'!B14="I",'[1]IceBank Account'!E14*$B$51,'[1]IceBank Account'!K14))</f>
        <v>0</v>
      </c>
      <c r="D59" s="274">
        <f>'[1]IceBank Account'!$P$4*'[1]IceBank Account'!G14*Efficiency</f>
        <v>110.00000000000001</v>
      </c>
      <c r="E59" s="274">
        <f>'[1]IceBank Account'!$U$4*'[1]IceBank Account'!H14*Efficiency</f>
        <v>0</v>
      </c>
      <c r="F59" s="295">
        <f t="shared" si="0"/>
        <v>190</v>
      </c>
      <c r="G59" s="286">
        <v>7</v>
      </c>
      <c r="H59" s="287">
        <f>IF('[1]IceBank Account'!B14="I",'[1]IceBank Account'!E14*$B$51*[2]Summary!$B$20,SUM(B59:E59)*[2]Summary!$B$15*[2]Summary!$B$19)</f>
        <v>30.400000000000002</v>
      </c>
      <c r="I59" s="287">
        <f>H59</f>
        <v>30.400000000000002</v>
      </c>
      <c r="J59" s="287">
        <f t="shared" si="1"/>
        <v>0</v>
      </c>
    </row>
    <row r="60" spans="1:10">
      <c r="A60">
        <f t="shared" si="2"/>
        <v>8</v>
      </c>
      <c r="B60" s="274">
        <f>IF('[1]IceBank Account'!B15="I",'[1]IceBank Account'!E15*$B$51*[2]Summary!$B$20,'[1]IceBank Account'!J15*[2]Summary!$B$19)</f>
        <v>160</v>
      </c>
      <c r="C60" s="274">
        <f>IF($C$51=0,0,IF('[1]IceBank Account'!B15="I",'[1]IceBank Account'!E15*$B$51,'[1]IceBank Account'!K15))</f>
        <v>0</v>
      </c>
      <c r="D60" s="274">
        <f>'[1]IceBank Account'!$P$4*'[1]IceBank Account'!G15*Efficiency</f>
        <v>110.00000000000001</v>
      </c>
      <c r="E60" s="274">
        <f>'[1]IceBank Account'!$U$4*'[1]IceBank Account'!H15*Efficiency</f>
        <v>0</v>
      </c>
      <c r="F60" s="295">
        <f t="shared" si="0"/>
        <v>270</v>
      </c>
      <c r="G60" s="286">
        <v>8</v>
      </c>
      <c r="H60" s="287">
        <f>IF('[1]IceBank Account'!B15="I",'[1]IceBank Account'!E15*$B$51*[2]Summary!$B$20,SUM(B60:E60)*[2]Summary!$B$15*[2]Summary!$B$19)</f>
        <v>43.2</v>
      </c>
      <c r="I60" s="287">
        <f t="shared" ref="I60:I62" si="3">H60</f>
        <v>43.2</v>
      </c>
      <c r="J60" s="287">
        <f t="shared" si="1"/>
        <v>0</v>
      </c>
    </row>
    <row r="61" spans="1:10">
      <c r="A61">
        <f t="shared" si="2"/>
        <v>9</v>
      </c>
      <c r="B61" s="274">
        <f>IF('[1]IceBank Account'!B16="I",'[1]IceBank Account'!E16*$B$51*[2]Summary!$B$20,'[1]IceBank Account'!J16*[2]Summary!$B$19)</f>
        <v>240</v>
      </c>
      <c r="C61" s="274">
        <f>IF($C$51=0,0,IF('[1]IceBank Account'!B16="I",'[1]IceBank Account'!E16*$B$51,'[1]IceBank Account'!K16))</f>
        <v>0</v>
      </c>
      <c r="D61" s="274">
        <f>'[1]IceBank Account'!$P$4*'[1]IceBank Account'!G16*Efficiency</f>
        <v>110.00000000000001</v>
      </c>
      <c r="E61" s="274">
        <f>'[1]IceBank Account'!$U$4*'[1]IceBank Account'!H16*Efficiency</f>
        <v>0</v>
      </c>
      <c r="F61" s="295">
        <f t="shared" si="0"/>
        <v>350</v>
      </c>
      <c r="G61" s="286">
        <v>9</v>
      </c>
      <c r="H61" s="287">
        <f>IF('[1]IceBank Account'!B16="I",'[1]IceBank Account'!E16*$B$51*[2]Summary!$B$20,SUM(B61:E61)*[2]Summary!$B$15*[2]Summary!$B$19)</f>
        <v>56</v>
      </c>
      <c r="I61" s="287">
        <f t="shared" si="3"/>
        <v>56</v>
      </c>
      <c r="J61" s="287">
        <f t="shared" si="1"/>
        <v>0</v>
      </c>
    </row>
    <row r="62" spans="1:10">
      <c r="A62">
        <f t="shared" si="2"/>
        <v>10</v>
      </c>
      <c r="B62" s="274">
        <f>IF('[1]IceBank Account'!B17="I",'[1]IceBank Account'!E17*$B$51*[2]Summary!$B$20,'[1]IceBank Account'!J17*[2]Summary!$B$19)</f>
        <v>320</v>
      </c>
      <c r="C62" s="274">
        <f>IF($C$51=0,0,IF('[1]IceBank Account'!B17="I",'[1]IceBank Account'!E17*$B$51,'[1]IceBank Account'!K17))</f>
        <v>0</v>
      </c>
      <c r="D62" s="274">
        <f>'[1]IceBank Account'!$P$4*'[1]IceBank Account'!G17*Efficiency</f>
        <v>110.00000000000001</v>
      </c>
      <c r="E62" s="274">
        <f>'[1]IceBank Account'!$U$4*'[1]IceBank Account'!H17*Efficiency</f>
        <v>0</v>
      </c>
      <c r="F62" s="295">
        <f t="shared" si="0"/>
        <v>430</v>
      </c>
      <c r="G62" s="286">
        <v>10</v>
      </c>
      <c r="H62" s="287">
        <f>IF('[1]IceBank Account'!B17="I",'[1]IceBank Account'!E17*$B$51*[2]Summary!$B$20,SUM(B62:E62)*[2]Summary!$B$15*[2]Summary!$B$19)</f>
        <v>68.8</v>
      </c>
      <c r="I62" s="287">
        <f t="shared" si="3"/>
        <v>68.8</v>
      </c>
      <c r="J62" s="287">
        <f t="shared" si="1"/>
        <v>0</v>
      </c>
    </row>
    <row r="63" spans="1:10">
      <c r="A63">
        <f t="shared" si="2"/>
        <v>11</v>
      </c>
      <c r="B63" s="274">
        <f>IF('[1]IceBank Account'!B18="I",'[1]IceBank Account'!E18*$B$51*[2]Summary!$B$20,'[1]IceBank Account'!J18*[2]Summary!$B$19)</f>
        <v>486.95652173913044</v>
      </c>
      <c r="C63" s="274">
        <f>IF($C$51=0,0,IF('[1]IceBank Account'!B18="I",'[1]IceBank Account'!E18*$B$51,'[1]IceBank Account'!K18))</f>
        <v>0</v>
      </c>
      <c r="D63" s="274">
        <f>'[1]IceBank Account'!$P$4*'[1]IceBank Account'!G18*Efficiency</f>
        <v>110.00000000000001</v>
      </c>
      <c r="E63" s="274">
        <f>'[1]IceBank Account'!$U$4*'[1]IceBank Account'!H18*Efficiency</f>
        <v>0</v>
      </c>
      <c r="F63" s="295">
        <f t="shared" si="0"/>
        <v>596.95652173913049</v>
      </c>
      <c r="G63">
        <v>11</v>
      </c>
      <c r="H63" s="46">
        <f>IF('[1]IceBank Account'!B18="I",'[1]IceBank Account'!E18*$B$51*[2]Summary!$B$20,SUM(B63:E63)*[2]Summary!$B$15*[2]Summary!$B$19)</f>
        <v>95.513043478260897</v>
      </c>
      <c r="I63" s="288">
        <f>($I$79-SUM($I$59:$I$62,$I$71:$I$74))/8</f>
        <v>296.29082125603861</v>
      </c>
      <c r="J63" s="46">
        <f t="shared" si="1"/>
        <v>0</v>
      </c>
    </row>
    <row r="64" spans="1:10">
      <c r="A64">
        <f t="shared" si="2"/>
        <v>12</v>
      </c>
      <c r="B64" s="274">
        <f>IF('[1]IceBank Account'!B19="I",'[1]IceBank Account'!E19*$B$51*[2]Summary!$B$20,'[1]IceBank Account'!J19*[2]Summary!$B$19)</f>
        <v>486.95652173913044</v>
      </c>
      <c r="C64" s="274">
        <f>IF($C$51=0,0,IF('[1]IceBank Account'!B19="I",'[1]IceBank Account'!E19*$B$51,'[1]IceBank Account'!K19))</f>
        <v>0</v>
      </c>
      <c r="D64" s="274">
        <f>'[1]IceBank Account'!$P$4*'[1]IceBank Account'!G19*Efficiency</f>
        <v>110.00000000000001</v>
      </c>
      <c r="E64" s="274">
        <f>'[1]IceBank Account'!$U$4*'[1]IceBank Account'!H19*Efficiency</f>
        <v>0</v>
      </c>
      <c r="F64" s="295">
        <f t="shared" si="0"/>
        <v>596.95652173913049</v>
      </c>
      <c r="G64">
        <v>12</v>
      </c>
      <c r="H64" s="46">
        <f>IF('[1]IceBank Account'!B19="I",'[1]IceBank Account'!E19*$B$51*[2]Summary!$B$20,SUM(B64:E64)*[2]Summary!$B$15*[2]Summary!$B$19)</f>
        <v>95.513043478260897</v>
      </c>
      <c r="I64" s="288">
        <f t="shared" ref="I64:I70" si="4">($I$79-SUM($I$59:$I$62,$I$71:$I$74))/8</f>
        <v>296.29082125603861</v>
      </c>
      <c r="J64" s="46">
        <f t="shared" si="1"/>
        <v>0</v>
      </c>
    </row>
    <row r="65" spans="1:10">
      <c r="A65">
        <f t="shared" si="2"/>
        <v>13</v>
      </c>
      <c r="B65" s="274">
        <f>IF('[1]IceBank Account'!B20="I",'[1]IceBank Account'!E20*$B$51*[2]Summary!$B$20,'[1]IceBank Account'!J20*[2]Summary!$B$19)</f>
        <v>486.95652173913044</v>
      </c>
      <c r="C65" s="274">
        <f>IF($C$51=0,0,IF('[1]IceBank Account'!B20="I",'[1]IceBank Account'!E20*$B$51,'[1]IceBank Account'!K20))</f>
        <v>0</v>
      </c>
      <c r="D65" s="274">
        <f>'[1]IceBank Account'!$P$4*'[1]IceBank Account'!G20*Efficiency</f>
        <v>110.00000000000001</v>
      </c>
      <c r="E65" s="274">
        <f>'[1]IceBank Account'!$U$4*'[1]IceBank Account'!H20*Efficiency</f>
        <v>0</v>
      </c>
      <c r="F65" s="295">
        <f t="shared" si="0"/>
        <v>596.95652173913049</v>
      </c>
      <c r="G65">
        <v>13</v>
      </c>
      <c r="H65" s="46">
        <f>IF('[1]IceBank Account'!B20="I",'[1]IceBank Account'!E20*$B$51*[2]Summary!$B$20,SUM(B65:E65)*[2]Summary!$B$15*[2]Summary!$B$19)</f>
        <v>95.513043478260897</v>
      </c>
      <c r="I65" s="288">
        <f t="shared" si="4"/>
        <v>296.29082125603861</v>
      </c>
      <c r="J65" s="46">
        <f t="shared" si="1"/>
        <v>0</v>
      </c>
    </row>
    <row r="66" spans="1:10">
      <c r="A66">
        <f t="shared" si="2"/>
        <v>14</v>
      </c>
      <c r="B66" s="274">
        <f>IF('[1]IceBank Account'!B21="I",'[1]IceBank Account'!E21*$B$51*[2]Summary!$B$20,'[1]IceBank Account'!J21*[2]Summary!$B$19)</f>
        <v>486.95652173913044</v>
      </c>
      <c r="C66" s="274">
        <f>IF($C$51=0,0,IF('[1]IceBank Account'!B21="I",'[1]IceBank Account'!E21*$B$51,'[1]IceBank Account'!K21))</f>
        <v>0</v>
      </c>
      <c r="D66" s="274">
        <f>'[1]IceBank Account'!$P$4*'[1]IceBank Account'!G21*Efficiency</f>
        <v>110.00000000000001</v>
      </c>
      <c r="E66" s="274">
        <f>'[1]IceBank Account'!$U$4*'[1]IceBank Account'!H21*Efficiency</f>
        <v>0</v>
      </c>
      <c r="F66" s="295">
        <f t="shared" si="0"/>
        <v>596.95652173913049</v>
      </c>
      <c r="G66">
        <v>14</v>
      </c>
      <c r="H66" s="46">
        <f>IF('[1]IceBank Account'!B21="I",'[1]IceBank Account'!E21*$B$51*[2]Summary!$B$20,SUM(B66:E66)*[2]Summary!$B$15*[2]Summary!$B$19)</f>
        <v>95.513043478260897</v>
      </c>
      <c r="I66" s="288">
        <f t="shared" si="4"/>
        <v>296.29082125603861</v>
      </c>
      <c r="J66" s="46">
        <f t="shared" si="1"/>
        <v>0</v>
      </c>
    </row>
    <row r="67" spans="1:10">
      <c r="A67">
        <f t="shared" si="2"/>
        <v>15</v>
      </c>
      <c r="B67" s="274">
        <f>IF('[1]IceBank Account'!B22="I",'[1]IceBank Account'!E22*$B$51*[2]Summary!$B$20,'[1]IceBank Account'!J22*[2]Summary!$B$19)</f>
        <v>486.95652173913044</v>
      </c>
      <c r="C67" s="274">
        <f>IF($C$51=0,0,IF('[1]IceBank Account'!B22="I",'[1]IceBank Account'!E22*$B$51,'[1]IceBank Account'!K22))</f>
        <v>0</v>
      </c>
      <c r="D67" s="274">
        <f>'[1]IceBank Account'!$P$4*'[1]IceBank Account'!G22*Efficiency</f>
        <v>110.00000000000001</v>
      </c>
      <c r="E67" s="274">
        <f>'[1]IceBank Account'!$U$4*'[1]IceBank Account'!H22*Efficiency</f>
        <v>0</v>
      </c>
      <c r="F67" s="295">
        <f t="shared" si="0"/>
        <v>596.95652173913049</v>
      </c>
      <c r="G67">
        <v>15</v>
      </c>
      <c r="H67" s="46">
        <f>IF('[1]IceBank Account'!B22="I",'[1]IceBank Account'!E22*$B$51*[2]Summary!$B$20,SUM(B67:E67)*[2]Summary!$B$15*[2]Summary!$B$19)</f>
        <v>95.513043478260897</v>
      </c>
      <c r="I67" s="288">
        <f t="shared" si="4"/>
        <v>296.29082125603861</v>
      </c>
      <c r="J67" s="46">
        <f t="shared" si="1"/>
        <v>0</v>
      </c>
    </row>
    <row r="68" spans="1:10">
      <c r="A68">
        <f t="shared" si="2"/>
        <v>16</v>
      </c>
      <c r="B68" s="274">
        <f>IF('[1]IceBank Account'!B23="I",'[1]IceBank Account'!E23*$B$51*[2]Summary!$B$20,'[1]IceBank Account'!J23*[2]Summary!$B$19)</f>
        <v>0</v>
      </c>
      <c r="C68" s="274">
        <f>IF($C$51=0,0,IF('[1]IceBank Account'!B23="I",'[1]IceBank Account'!E23*$B$51,'[1]IceBank Account'!K23))</f>
        <v>0</v>
      </c>
      <c r="D68" s="274">
        <f>'[1]IceBank Account'!$P$4*'[1]IceBank Account'!G23*Efficiency</f>
        <v>0</v>
      </c>
      <c r="E68" s="274">
        <f>'[1]IceBank Account'!$U$4*'[1]IceBank Account'!H23*Efficiency</f>
        <v>0</v>
      </c>
      <c r="F68" s="295">
        <f t="shared" si="0"/>
        <v>0</v>
      </c>
      <c r="G68">
        <v>16</v>
      </c>
      <c r="H68" s="46">
        <f>IF('[1]IceBank Account'!B23="I",'[1]IceBank Account'!E23*$B$51*[2]Summary!$B$20,SUM(B68:E68)*[2]Summary!$B$15*[2]Summary!$B$19)</f>
        <v>0</v>
      </c>
      <c r="I68" s="288">
        <f t="shared" si="4"/>
        <v>296.29082125603861</v>
      </c>
      <c r="J68" s="46">
        <f t="shared" si="1"/>
        <v>0</v>
      </c>
    </row>
    <row r="69" spans="1:10">
      <c r="A69">
        <f t="shared" si="2"/>
        <v>17</v>
      </c>
      <c r="B69" s="274">
        <f>IF('[1]IceBank Account'!B24="I",'[1]IceBank Account'!E24*$B$51*[2]Summary!$B$20,'[1]IceBank Account'!J24*[2]Summary!$B$19)</f>
        <v>0</v>
      </c>
      <c r="C69" s="274">
        <f>IF($C$51=0,0,IF('[1]IceBank Account'!B24="I",'[1]IceBank Account'!E24*$B$51,'[1]IceBank Account'!K24))</f>
        <v>0</v>
      </c>
      <c r="D69" s="274">
        <f>'[1]IceBank Account'!$P$4*'[1]IceBank Account'!G24*Efficiency</f>
        <v>0</v>
      </c>
      <c r="E69" s="274">
        <f>'[1]IceBank Account'!$U$4*'[1]IceBank Account'!H24*Efficiency</f>
        <v>0</v>
      </c>
      <c r="F69" s="295">
        <f t="shared" si="0"/>
        <v>0</v>
      </c>
      <c r="G69">
        <v>17</v>
      </c>
      <c r="H69" s="46">
        <f>IF('[1]IceBank Account'!B24="I",'[1]IceBank Account'!E24*$B$51*[2]Summary!$B$20,SUM(B69:E69)*[2]Summary!$B$15*[2]Summary!$B$19)</f>
        <v>0</v>
      </c>
      <c r="I69" s="288">
        <f t="shared" si="4"/>
        <v>296.29082125603861</v>
      </c>
      <c r="J69" s="46">
        <f t="shared" si="1"/>
        <v>0</v>
      </c>
    </row>
    <row r="70" spans="1:10">
      <c r="A70">
        <f t="shared" si="2"/>
        <v>18</v>
      </c>
      <c r="B70" s="274">
        <f>IF('[1]IceBank Account'!B25="I",'[1]IceBank Account'!E25*$B$51*[2]Summary!$B$20,'[1]IceBank Account'!J25*[2]Summary!$B$19)</f>
        <v>0</v>
      </c>
      <c r="C70" s="274">
        <f>IF($C$51=0,0,IF('[1]IceBank Account'!B25="I",'[1]IceBank Account'!E25*$B$51,'[1]IceBank Account'!K25))</f>
        <v>0</v>
      </c>
      <c r="D70" s="274">
        <f>'[1]IceBank Account'!$P$4*'[1]IceBank Account'!G25*Efficiency</f>
        <v>0</v>
      </c>
      <c r="E70" s="274">
        <f>'[1]IceBank Account'!$U$4*'[1]IceBank Account'!H25*Efficiency</f>
        <v>0</v>
      </c>
      <c r="F70" s="295">
        <f t="shared" si="0"/>
        <v>0</v>
      </c>
      <c r="G70">
        <v>18</v>
      </c>
      <c r="H70" s="46">
        <f>IF('[1]IceBank Account'!B25="I",'[1]IceBank Account'!E25*$B$51*[2]Summary!$B$20,SUM(B70:E70)*[2]Summary!$B$15*[2]Summary!$B$19)</f>
        <v>0</v>
      </c>
      <c r="I70" s="288">
        <f t="shared" si="4"/>
        <v>296.29082125603861</v>
      </c>
      <c r="J70" s="46">
        <f t="shared" si="1"/>
        <v>0</v>
      </c>
    </row>
    <row r="71" spans="1:10">
      <c r="A71">
        <f t="shared" si="2"/>
        <v>19</v>
      </c>
      <c r="B71" s="274">
        <f>IF('[1]IceBank Account'!B26="I",'[1]IceBank Account'!E26*$B$51*[2]Summary!$B$20,'[1]IceBank Account'!J26*[2]Summary!$B$19)</f>
        <v>400</v>
      </c>
      <c r="C71" s="274">
        <f>IF($C$51=0,0,IF('[1]IceBank Account'!B26="I",'[1]IceBank Account'!E26*$B$51,'[1]IceBank Account'!K26))</f>
        <v>0</v>
      </c>
      <c r="D71" s="274">
        <f>'[1]IceBank Account'!$P$4*'[1]IceBank Account'!G26*Efficiency</f>
        <v>110.00000000000001</v>
      </c>
      <c r="E71" s="274">
        <f>'[1]IceBank Account'!$U$4*'[1]IceBank Account'!H26*Efficiency</f>
        <v>0</v>
      </c>
      <c r="F71" s="295">
        <f t="shared" si="0"/>
        <v>510</v>
      </c>
      <c r="G71" s="286">
        <v>19</v>
      </c>
      <c r="H71" s="287">
        <f>IF('[1]IceBank Account'!B26="I",'[1]IceBank Account'!E26*$B$51*[2]Summary!$B$20,SUM(B71:E71)*[2]Summary!$B$15*[2]Summary!$B$19)</f>
        <v>81.600000000000009</v>
      </c>
      <c r="I71" s="287">
        <f>H71</f>
        <v>81.600000000000009</v>
      </c>
      <c r="J71" s="287">
        <f t="shared" si="1"/>
        <v>0</v>
      </c>
    </row>
    <row r="72" spans="1:10">
      <c r="A72">
        <f t="shared" si="2"/>
        <v>20</v>
      </c>
      <c r="B72" s="274">
        <f>IF('[1]IceBank Account'!B27="I",'[1]IceBank Account'!E27*$B$51*[2]Summary!$B$20,'[1]IceBank Account'!J27*[2]Summary!$B$19)</f>
        <v>400</v>
      </c>
      <c r="C72" s="274">
        <f>IF($C$51=0,0,IF('[1]IceBank Account'!B27="I",'[1]IceBank Account'!E27*$B$51,'[1]IceBank Account'!K27))</f>
        <v>0</v>
      </c>
      <c r="D72" s="274">
        <f>'[1]IceBank Account'!$P$4*'[1]IceBank Account'!G27*Efficiency</f>
        <v>110.00000000000001</v>
      </c>
      <c r="E72" s="274">
        <f>'[1]IceBank Account'!$U$4*'[1]IceBank Account'!H27*Efficiency</f>
        <v>0</v>
      </c>
      <c r="F72" s="295">
        <f t="shared" si="0"/>
        <v>510</v>
      </c>
      <c r="G72" s="286">
        <v>20</v>
      </c>
      <c r="H72" s="287">
        <f>IF('[1]IceBank Account'!B27="I",'[1]IceBank Account'!E27*$B$51*[2]Summary!$B$20,SUM(B72:E72)*[2]Summary!$B$15*[2]Summary!$B$19)</f>
        <v>81.600000000000009</v>
      </c>
      <c r="I72" s="287">
        <f t="shared" ref="I72:I74" si="5">H72</f>
        <v>81.600000000000009</v>
      </c>
      <c r="J72" s="287">
        <f t="shared" si="1"/>
        <v>0</v>
      </c>
    </row>
    <row r="73" spans="1:10">
      <c r="A73">
        <f t="shared" si="2"/>
        <v>21</v>
      </c>
      <c r="B73" s="274">
        <f>IF('[1]IceBank Account'!B28="I",'[1]IceBank Account'!E28*$B$51*[2]Summary!$B$20,'[1]IceBank Account'!J28*[2]Summary!$B$19)</f>
        <v>400</v>
      </c>
      <c r="C73" s="274">
        <f>IF($C$51=0,0,IF('[1]IceBank Account'!B28="I",'[1]IceBank Account'!E28*$B$51,'[1]IceBank Account'!K28))</f>
        <v>0</v>
      </c>
      <c r="D73" s="274">
        <f>'[1]IceBank Account'!$P$4*'[1]IceBank Account'!G28*Efficiency</f>
        <v>110.00000000000001</v>
      </c>
      <c r="E73" s="274">
        <f>'[1]IceBank Account'!$U$4*'[1]IceBank Account'!H28*Efficiency</f>
        <v>0</v>
      </c>
      <c r="F73" s="295">
        <f t="shared" si="0"/>
        <v>510</v>
      </c>
      <c r="G73" s="286">
        <v>21</v>
      </c>
      <c r="H73" s="287">
        <f>IF('[1]IceBank Account'!B28="I",'[1]IceBank Account'!E28*$B$51*[2]Summary!$B$20,SUM(B73:E73)*[2]Summary!$B$15*[2]Summary!$B$19)</f>
        <v>81.600000000000009</v>
      </c>
      <c r="I73" s="287">
        <f t="shared" si="5"/>
        <v>81.600000000000009</v>
      </c>
      <c r="J73" s="287">
        <f t="shared" si="1"/>
        <v>0</v>
      </c>
    </row>
    <row r="74" spans="1:10">
      <c r="A74">
        <f t="shared" si="2"/>
        <v>22</v>
      </c>
      <c r="B74" s="274">
        <f>IF('[1]IceBank Account'!B29="I",'[1]IceBank Account'!E29*$B$51*[2]Summary!$B$20,'[1]IceBank Account'!J29*[2]Summary!$B$19)</f>
        <v>351.69082125603859</v>
      </c>
      <c r="C74" s="274">
        <f>IF($C$51=0,0,IF('[1]IceBank Account'!B29="I",'[1]IceBank Account'!E29*$B$51,'[1]IceBank Account'!K29))</f>
        <v>0</v>
      </c>
      <c r="D74" s="274">
        <f>'[1]IceBank Account'!$P$4*'[1]IceBank Account'!G29*Efficiency</f>
        <v>110.00000000000001</v>
      </c>
      <c r="E74" s="274">
        <f>'[1]IceBank Account'!$U$4*'[1]IceBank Account'!H29*Efficiency</f>
        <v>0</v>
      </c>
      <c r="F74" s="295">
        <f t="shared" si="0"/>
        <v>461.69082125603859</v>
      </c>
      <c r="G74" s="286">
        <v>22</v>
      </c>
      <c r="H74" s="287">
        <f>IF('[1]IceBank Account'!B29="I",'[1]IceBank Account'!E29*$B$51*[2]Summary!$B$20,SUM(B74:E74)*[2]Summary!$B$15*[2]Summary!$B$19)</f>
        <v>351.69082125603859</v>
      </c>
      <c r="I74" s="287">
        <f t="shared" si="5"/>
        <v>351.69082125603859</v>
      </c>
      <c r="J74" s="287">
        <f t="shared" si="1"/>
        <v>0</v>
      </c>
    </row>
    <row r="75" spans="1:10">
      <c r="A75">
        <f t="shared" si="2"/>
        <v>23</v>
      </c>
      <c r="B75" s="274">
        <f>IF('[1]IceBank Account'!B30="I",'[1]IceBank Account'!E30*$B$51*[2]Summary!$B$20,'[1]IceBank Account'!J30*[2]Summary!$B$19)</f>
        <v>351.69082125603859</v>
      </c>
      <c r="C75" s="274">
        <f>IF($C$51=0,0,IF('[1]IceBank Account'!B30="I",'[1]IceBank Account'!E30*$B$51,'[1]IceBank Account'!K30))</f>
        <v>0</v>
      </c>
      <c r="D75" s="274">
        <f>'[1]IceBank Account'!$P$4*'[1]IceBank Account'!G30*Efficiency</f>
        <v>110.00000000000001</v>
      </c>
      <c r="E75" s="274">
        <f>'[1]IceBank Account'!$U$4*'[1]IceBank Account'!H30*Efficiency</f>
        <v>0</v>
      </c>
      <c r="F75" s="295">
        <f t="shared" si="0"/>
        <v>461.69082125603859</v>
      </c>
      <c r="G75">
        <v>23</v>
      </c>
      <c r="H75" s="46">
        <f>IF('[1]IceBank Account'!B30="I",'[1]IceBank Account'!E30*$B$51*[2]Summary!$B$20,SUM(B75:E75)*[2]Summary!$B$15*[2]Summary!$B$19)</f>
        <v>351.69082125603859</v>
      </c>
      <c r="I75" s="46">
        <v>0</v>
      </c>
      <c r="J75" s="46">
        <f t="shared" si="1"/>
        <v>351.69082125603859</v>
      </c>
    </row>
    <row r="76" spans="1:10">
      <c r="A76">
        <f t="shared" si="2"/>
        <v>24</v>
      </c>
      <c r="B76" s="274">
        <f>IF('[1]IceBank Account'!B31="I",'[1]IceBank Account'!E31*$B$51*[2]Summary!$B$20,'[1]IceBank Account'!J31*[2]Summary!$B$19)</f>
        <v>351.69082125603859</v>
      </c>
      <c r="C76" s="274">
        <f>IF($C$51=0,0,IF('[1]IceBank Account'!B31="I",'[1]IceBank Account'!E31*$B$51,'[1]IceBank Account'!K31))</f>
        <v>0</v>
      </c>
      <c r="D76" s="274">
        <f>'[1]IceBank Account'!$P$4*'[1]IceBank Account'!G31*Efficiency</f>
        <v>110.00000000000001</v>
      </c>
      <c r="E76" s="274">
        <f>'[1]IceBank Account'!$U$4*'[1]IceBank Account'!H31*Efficiency</f>
        <v>0</v>
      </c>
      <c r="F76" s="295">
        <f t="shared" si="0"/>
        <v>461.69082125603859</v>
      </c>
      <c r="G76">
        <v>24</v>
      </c>
      <c r="H76" s="46">
        <f>IF('[1]IceBank Account'!B31="I",'[1]IceBank Account'!E31*$B$51*[2]Summary!$B$20,SUM(B76:E76)*[2]Summary!$B$15*[2]Summary!$B$19)</f>
        <v>351.69082125603859</v>
      </c>
      <c r="I76" s="46">
        <v>0</v>
      </c>
      <c r="J76" s="46">
        <f t="shared" si="1"/>
        <v>351.69082125603859</v>
      </c>
    </row>
    <row r="77" spans="1:10">
      <c r="F77" s="295"/>
      <c r="I77" s="46"/>
    </row>
    <row r="78" spans="1:10">
      <c r="F78" s="295"/>
      <c r="H78" s="293" t="s">
        <v>211</v>
      </c>
      <c r="I78" s="292">
        <f>'[1]IceBank Account'!M33</f>
        <v>3956.5217391304341</v>
      </c>
    </row>
    <row r="79" spans="1:10">
      <c r="H79" s="293" t="s">
        <v>212</v>
      </c>
      <c r="I79" s="292">
        <f>I78*[2]Summary!$B$19</f>
        <v>3165.2173913043475</v>
      </c>
    </row>
    <row r="80" spans="1:10">
      <c r="G80" s="46"/>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00"/>
  <sheetViews>
    <sheetView showGridLines="0" zoomScale="80" zoomScaleNormal="80" workbookViewId="0">
      <selection activeCell="B11" sqref="B11"/>
    </sheetView>
  </sheetViews>
  <sheetFormatPr defaultRowHeight="14.5"/>
  <cols>
    <col min="1" max="1" width="33.453125" customWidth="1"/>
    <col min="2" max="2" width="15.1796875" customWidth="1"/>
    <col min="6" max="6" width="36.1796875" customWidth="1"/>
    <col min="7" max="7" width="20" customWidth="1"/>
    <col min="8" max="8" width="13.453125" customWidth="1"/>
    <col min="11" max="11" width="32.54296875" customWidth="1"/>
    <col min="12" max="12" width="16.26953125" customWidth="1"/>
    <col min="13" max="13" width="13.453125" customWidth="1"/>
  </cols>
  <sheetData>
    <row r="1" spans="1:14">
      <c r="A1" s="175" t="s">
        <v>281</v>
      </c>
    </row>
    <row r="2" spans="1:14">
      <c r="A2" t="s">
        <v>299</v>
      </c>
    </row>
    <row r="3" spans="1:14">
      <c r="A3" t="s">
        <v>300</v>
      </c>
    </row>
    <row r="5" spans="1:14">
      <c r="A5" s="278" t="s">
        <v>301</v>
      </c>
      <c r="B5" s="259"/>
      <c r="F5" s="175" t="s">
        <v>161</v>
      </c>
      <c r="K5" s="175" t="s">
        <v>176</v>
      </c>
    </row>
    <row r="6" spans="1:14">
      <c r="A6" s="248" t="s">
        <v>192</v>
      </c>
      <c r="B6" s="279">
        <v>25.96</v>
      </c>
      <c r="F6" t="s">
        <v>174</v>
      </c>
      <c r="G6" s="271">
        <f>MAX('IceBank Account'!$C$8:$C$31)</f>
        <v>250</v>
      </c>
      <c r="K6" t="s">
        <v>177</v>
      </c>
      <c r="L6" s="271">
        <f>Summary!$I$6</f>
        <v>250</v>
      </c>
    </row>
    <row r="7" spans="1:14">
      <c r="A7" s="248" t="s">
        <v>302</v>
      </c>
      <c r="B7" s="280">
        <v>10.11</v>
      </c>
      <c r="K7" t="s">
        <v>178</v>
      </c>
      <c r="L7">
        <f>'IceBank Account'!$Q$33</f>
        <v>4</v>
      </c>
    </row>
    <row r="8" spans="1:14">
      <c r="A8" s="248" t="s">
        <v>303</v>
      </c>
      <c r="B8" s="257">
        <v>8.2419999999999993E-2</v>
      </c>
      <c r="F8" s="191" t="s">
        <v>162</v>
      </c>
      <c r="K8" s="191" t="s">
        <v>162</v>
      </c>
    </row>
    <row r="9" spans="1:14">
      <c r="A9" s="248" t="s">
        <v>304</v>
      </c>
      <c r="B9" s="257">
        <v>3.7310000000000003E-2</v>
      </c>
      <c r="F9" s="258" t="s">
        <v>305</v>
      </c>
      <c r="G9" s="284" t="s">
        <v>163</v>
      </c>
      <c r="H9" s="245" t="s">
        <v>164</v>
      </c>
      <c r="I9" s="12"/>
      <c r="K9" s="258" t="s">
        <v>306</v>
      </c>
      <c r="L9" s="284" t="s">
        <v>163</v>
      </c>
      <c r="M9" s="245" t="s">
        <v>164</v>
      </c>
      <c r="N9" s="12"/>
    </row>
    <row r="10" spans="1:14" ht="15" thickBot="1">
      <c r="A10" s="289" t="s">
        <v>209</v>
      </c>
      <c r="B10" s="290">
        <f>Tax</f>
        <v>0.08</v>
      </c>
      <c r="F10" t="s">
        <v>190</v>
      </c>
      <c r="G10" s="283" t="s">
        <v>196</v>
      </c>
      <c r="H10" s="260">
        <f>B6</f>
        <v>25.96</v>
      </c>
      <c r="K10" t="s">
        <v>190</v>
      </c>
      <c r="L10" s="283" t="s">
        <v>196</v>
      </c>
      <c r="M10" s="260">
        <f>B6</f>
        <v>25.96</v>
      </c>
    </row>
    <row r="11" spans="1:14">
      <c r="A11" s="339"/>
      <c r="B11" s="339"/>
      <c r="F11" t="s">
        <v>191</v>
      </c>
      <c r="G11" s="281">
        <f>B16</f>
        <v>275</v>
      </c>
      <c r="H11" s="260">
        <f>G11*$B$7</f>
        <v>2780.25</v>
      </c>
      <c r="K11" t="s">
        <v>191</v>
      </c>
      <c r="L11" s="281">
        <f>B24</f>
        <v>170.12614678899081</v>
      </c>
      <c r="M11" s="260">
        <f>L11*$B$7</f>
        <v>1719.9753440366969</v>
      </c>
    </row>
    <row r="12" spans="1:14" ht="15" thickBot="1">
      <c r="A12" s="344"/>
      <c r="B12" s="345"/>
      <c r="F12" t="s">
        <v>198</v>
      </c>
      <c r="G12" s="282">
        <f>B19</f>
        <v>22385</v>
      </c>
      <c r="H12" s="260">
        <f>G12*$B$8</f>
        <v>1844.9716999999998</v>
      </c>
      <c r="K12" t="s">
        <v>198</v>
      </c>
      <c r="L12" s="282">
        <f>B28</f>
        <v>16920.825688073393</v>
      </c>
      <c r="M12" s="260">
        <f>L12*$B$8</f>
        <v>1394.614453211009</v>
      </c>
    </row>
    <row r="13" spans="1:14">
      <c r="A13" s="305" t="s">
        <v>202</v>
      </c>
      <c r="B13" s="306"/>
      <c r="C13" s="306"/>
      <c r="D13" s="307"/>
      <c r="F13" t="s">
        <v>199</v>
      </c>
      <c r="G13" s="282">
        <f>B20</f>
        <v>26317.5</v>
      </c>
      <c r="H13" s="260">
        <f>G13*$B$9</f>
        <v>981.90592500000002</v>
      </c>
      <c r="K13" t="s">
        <v>199</v>
      </c>
      <c r="L13" s="282">
        <f>B29</f>
        <v>34630.068807339441</v>
      </c>
      <c r="M13" s="260">
        <f>L13*$B$9</f>
        <v>1292.0478672018346</v>
      </c>
    </row>
    <row r="14" spans="1:14">
      <c r="A14" s="308" t="s">
        <v>307</v>
      </c>
      <c r="B14" s="309"/>
      <c r="C14" s="309"/>
      <c r="D14" s="310"/>
      <c r="F14" s="175" t="s">
        <v>165</v>
      </c>
      <c r="G14" s="175"/>
      <c r="H14" s="222">
        <f>SUM(H10:H13)</f>
        <v>5633.0876250000001</v>
      </c>
      <c r="I14" t="s">
        <v>308</v>
      </c>
      <c r="K14" s="175" t="s">
        <v>165</v>
      </c>
      <c r="L14" s="175"/>
      <c r="M14" s="222">
        <f>SUM(M10:M13)</f>
        <v>4432.5976644495404</v>
      </c>
      <c r="N14" t="s">
        <v>308</v>
      </c>
    </row>
    <row r="15" spans="1:14">
      <c r="A15" s="178" t="s">
        <v>309</v>
      </c>
      <c r="B15" s="311">
        <f>AVERAGE('IceBank Account'!$C$8:$C$31)*Efficiency</f>
        <v>92.239583333333343</v>
      </c>
      <c r="C15" s="312"/>
      <c r="D15" s="310"/>
      <c r="F15" s="176" t="s">
        <v>310</v>
      </c>
      <c r="G15" s="284" t="s">
        <v>163</v>
      </c>
      <c r="H15" s="245" t="s">
        <v>164</v>
      </c>
      <c r="K15" s="176" t="s">
        <v>310</v>
      </c>
      <c r="L15" s="284" t="s">
        <v>163</v>
      </c>
      <c r="M15" s="245" t="s">
        <v>164</v>
      </c>
    </row>
    <row r="16" spans="1:14">
      <c r="A16" s="178" t="s">
        <v>264</v>
      </c>
      <c r="B16" s="311">
        <f>MAX('IceBank Account'!$C$8:$C$31)*Efficiency</f>
        <v>275</v>
      </c>
      <c r="C16" s="309"/>
      <c r="D16" s="310"/>
      <c r="F16" t="s">
        <v>190</v>
      </c>
      <c r="G16" s="283" t="s">
        <v>196</v>
      </c>
      <c r="H16" s="260">
        <f>B6</f>
        <v>25.96</v>
      </c>
      <c r="K16" t="s">
        <v>190</v>
      </c>
      <c r="L16" s="283" t="s">
        <v>196</v>
      </c>
      <c r="M16" s="260">
        <f>B6</f>
        <v>25.96</v>
      </c>
    </row>
    <row r="17" spans="1:14">
      <c r="A17" s="178" t="s">
        <v>186</v>
      </c>
      <c r="B17" s="313">
        <f>SUM('IceBank Account'!$C$8:$C$31)*Efficiency</f>
        <v>2213.75</v>
      </c>
      <c r="C17" s="309"/>
      <c r="D17" s="310"/>
      <c r="F17" t="s">
        <v>191</v>
      </c>
      <c r="G17" s="281">
        <f>B16*Shoulder</f>
        <v>137.5</v>
      </c>
      <c r="H17" s="260">
        <f>G17*$B$7</f>
        <v>1390.125</v>
      </c>
      <c r="K17" t="s">
        <v>191</v>
      </c>
      <c r="L17" s="281">
        <f>B33</f>
        <v>85.063073394495405</v>
      </c>
      <c r="M17" s="260">
        <f>L17*$B$7</f>
        <v>859.98767201834846</v>
      </c>
    </row>
    <row r="18" spans="1:14">
      <c r="A18" s="178" t="s">
        <v>187</v>
      </c>
      <c r="B18" s="313">
        <f>B17*Weekend</f>
        <v>0</v>
      </c>
      <c r="C18" s="309"/>
      <c r="D18" s="310"/>
      <c r="F18" t="s">
        <v>198</v>
      </c>
      <c r="G18" s="282">
        <f>B19*Shoulder</f>
        <v>11192.5</v>
      </c>
      <c r="H18" s="260">
        <f>G18*$B$8</f>
        <v>922.48584999999991</v>
      </c>
      <c r="K18" t="s">
        <v>198</v>
      </c>
      <c r="L18" s="282">
        <f>B37</f>
        <v>5956.5252293577978</v>
      </c>
      <c r="M18" s="260">
        <f>L18*$B$8</f>
        <v>490.93680940366966</v>
      </c>
    </row>
    <row r="19" spans="1:14">
      <c r="A19" s="178" t="s">
        <v>311</v>
      </c>
      <c r="B19" s="313">
        <f>22*SUM('IceBank Account'!$C$20:$C$28)*Efficiency</f>
        <v>22385</v>
      </c>
      <c r="C19" s="317" t="s">
        <v>312</v>
      </c>
      <c r="D19" s="310"/>
      <c r="F19" t="s">
        <v>199</v>
      </c>
      <c r="G19" s="282">
        <f>B20*Shoulder</f>
        <v>13158.75</v>
      </c>
      <c r="H19" s="260">
        <f>G19*$B$9</f>
        <v>490.95296250000001</v>
      </c>
      <c r="K19" t="s">
        <v>199</v>
      </c>
      <c r="L19" s="282">
        <f>B38</f>
        <v>19818.922018348618</v>
      </c>
      <c r="M19" s="260">
        <f>L19*$B$9</f>
        <v>739.44398050458699</v>
      </c>
    </row>
    <row r="20" spans="1:14">
      <c r="A20" s="178" t="s">
        <v>313</v>
      </c>
      <c r="B20" s="313">
        <f>B21-B19</f>
        <v>26317.5</v>
      </c>
      <c r="C20" s="309"/>
      <c r="D20" s="310"/>
      <c r="F20" s="222" t="s">
        <v>165</v>
      </c>
      <c r="G20" s="222"/>
      <c r="H20" s="222">
        <f>SUM(H16:H19)</f>
        <v>2829.5238125000001</v>
      </c>
      <c r="I20" t="str">
        <f>"x "&amp;Months-7&amp;" months"</f>
        <v>x 2 months</v>
      </c>
      <c r="J20" s="260"/>
      <c r="K20" s="222" t="s">
        <v>165</v>
      </c>
      <c r="L20" s="222"/>
      <c r="M20" s="222">
        <f>SUM(M16:M19)</f>
        <v>2116.3284619266051</v>
      </c>
      <c r="N20" t="str">
        <f>"x "&amp;Months-7&amp;" months"</f>
        <v>x 2 months</v>
      </c>
    </row>
    <row r="21" spans="1:14">
      <c r="A21" s="178" t="s">
        <v>175</v>
      </c>
      <c r="B21" s="313">
        <f>(22*B17)+(8*B18)</f>
        <v>48702.5</v>
      </c>
      <c r="C21" s="317" t="s">
        <v>295</v>
      </c>
      <c r="D21" s="310"/>
      <c r="F21" s="176"/>
      <c r="G21" s="284"/>
      <c r="H21" s="245"/>
      <c r="J21" s="260"/>
      <c r="K21" s="176"/>
      <c r="L21" s="284"/>
      <c r="M21" s="245"/>
    </row>
    <row r="22" spans="1:14">
      <c r="A22" s="314" t="s">
        <v>314</v>
      </c>
      <c r="B22" s="315"/>
      <c r="C22" s="315"/>
      <c r="D22" s="316"/>
      <c r="G22" s="283"/>
      <c r="H22" s="260"/>
      <c r="J22" s="260"/>
      <c r="L22" s="283"/>
      <c r="M22" s="260"/>
    </row>
    <row r="23" spans="1:14">
      <c r="A23" s="178" t="s">
        <v>167</v>
      </c>
      <c r="B23" s="311">
        <f>AVERAGE('Cover Page'!$I$117:$I$140)</f>
        <v>97.63426987767582</v>
      </c>
      <c r="C23" s="309"/>
      <c r="D23" s="310"/>
      <c r="F23" s="260" t="s">
        <v>169</v>
      </c>
      <c r="G23" s="260"/>
      <c r="H23" s="260">
        <f>(H14*7)+(H20*(Months-7))</f>
        <v>45090.661</v>
      </c>
      <c r="J23" s="260"/>
      <c r="K23" s="260" t="s">
        <v>169</v>
      </c>
      <c r="L23" s="260"/>
      <c r="M23" s="260">
        <f>(M14*7)+(M20*(Months-7))</f>
        <v>35260.840574999995</v>
      </c>
    </row>
    <row r="24" spans="1:14">
      <c r="A24" s="178" t="s">
        <v>264</v>
      </c>
      <c r="B24" s="311">
        <f>MAX('Cover Page'!$I$129:$I$137)</f>
        <v>170.12614678899081</v>
      </c>
      <c r="C24" s="317" t="s">
        <v>312</v>
      </c>
      <c r="D24" s="310"/>
      <c r="F24" s="222" t="s">
        <v>214</v>
      </c>
      <c r="G24" s="222"/>
      <c r="H24" s="222">
        <f>H23*(1+Tax)</f>
        <v>48697.91388</v>
      </c>
      <c r="K24" s="222" t="s">
        <v>214</v>
      </c>
      <c r="L24" s="222"/>
      <c r="M24" s="222">
        <f>M23*(1+Tax)</f>
        <v>38081.707820999996</v>
      </c>
    </row>
    <row r="25" spans="1:14">
      <c r="A25" s="178" t="s">
        <v>200</v>
      </c>
      <c r="B25" s="313">
        <f>SUM('Cover Page'!$I$129:$I$137)</f>
        <v>769.12844036697243</v>
      </c>
      <c r="C25" s="317" t="s">
        <v>312</v>
      </c>
      <c r="D25" s="310"/>
      <c r="G25" s="282"/>
      <c r="H25" s="260"/>
      <c r="L25" s="282"/>
      <c r="M25" s="260"/>
    </row>
    <row r="26" spans="1:14" ht="15" thickBot="1">
      <c r="A26" s="178" t="s">
        <v>201</v>
      </c>
      <c r="B26" s="313">
        <f>'Cover Page'!$I$142-B25</f>
        <v>1574.0940366972472</v>
      </c>
      <c r="C26" s="309"/>
      <c r="D26" s="310"/>
      <c r="F26" s="222"/>
      <c r="G26" s="222"/>
      <c r="H26" s="222"/>
      <c r="K26" s="222"/>
      <c r="L26" s="222"/>
      <c r="M26" s="222"/>
    </row>
    <row r="27" spans="1:14" ht="15.5">
      <c r="A27" s="178" t="s">
        <v>187</v>
      </c>
      <c r="B27" s="313">
        <f>(B25+B26)*Weekend</f>
        <v>0</v>
      </c>
      <c r="C27" s="309"/>
      <c r="D27" s="310"/>
      <c r="F27" s="261" t="s">
        <v>170</v>
      </c>
      <c r="G27" s="262"/>
    </row>
    <row r="28" spans="1:14" ht="15.5">
      <c r="A28" s="178" t="s">
        <v>311</v>
      </c>
      <c r="B28" s="313">
        <f>B25*22</f>
        <v>16920.825688073393</v>
      </c>
      <c r="C28" s="317" t="s">
        <v>312</v>
      </c>
      <c r="D28" s="310"/>
      <c r="F28" s="263" t="s">
        <v>166</v>
      </c>
      <c r="G28" s="264">
        <f>H24</f>
        <v>48697.91388</v>
      </c>
      <c r="K28" s="260"/>
      <c r="L28" s="260"/>
      <c r="M28" s="260"/>
    </row>
    <row r="29" spans="1:14" ht="16" thickBot="1">
      <c r="A29" s="178" t="s">
        <v>313</v>
      </c>
      <c r="B29" s="313">
        <f>(22*B26)+(8*B27)</f>
        <v>34630.068807339441</v>
      </c>
      <c r="C29" s="309"/>
      <c r="D29" s="310"/>
      <c r="F29" s="265" t="s">
        <v>171</v>
      </c>
      <c r="G29" s="266">
        <f>M23</f>
        <v>35260.840574999995</v>
      </c>
    </row>
    <row r="30" spans="1:14" ht="16" thickTop="1">
      <c r="A30" s="178" t="s">
        <v>175</v>
      </c>
      <c r="B30" s="313">
        <f>B28+B29</f>
        <v>51550.894495412838</v>
      </c>
      <c r="C30" s="309"/>
      <c r="D30" s="310"/>
      <c r="F30" s="267" t="s">
        <v>172</v>
      </c>
      <c r="G30" s="268">
        <f>G28-G29</f>
        <v>13437.073305000005</v>
      </c>
    </row>
    <row r="31" spans="1:14" ht="16" thickBot="1">
      <c r="A31" s="314" t="s">
        <v>296</v>
      </c>
      <c r="B31" s="315"/>
      <c r="C31" s="315"/>
      <c r="D31" s="316"/>
      <c r="F31" s="269" t="s">
        <v>173</v>
      </c>
      <c r="G31" s="270">
        <f>G30/G28</f>
        <v>0.27592708258738258</v>
      </c>
    </row>
    <row r="32" spans="1:14">
      <c r="A32" s="178" t="s">
        <v>309</v>
      </c>
      <c r="B32" s="361">
        <f>B23*Shoulder</f>
        <v>48.81713493883791</v>
      </c>
      <c r="C32" s="309"/>
      <c r="D32" s="310"/>
    </row>
    <row r="33" spans="1:5">
      <c r="A33" s="341" t="s">
        <v>264</v>
      </c>
      <c r="B33" s="362">
        <f>MAX('Cover Page'!$I$123:$I$126,'Cover Page'!$I$135:$I$138)*Shoulder</f>
        <v>85.063073394495405</v>
      </c>
      <c r="C33" s="346" t="s">
        <v>315</v>
      </c>
      <c r="D33" s="343"/>
      <c r="E33" t="s">
        <v>316</v>
      </c>
    </row>
    <row r="34" spans="1:5">
      <c r="A34" s="341" t="s">
        <v>200</v>
      </c>
      <c r="B34" s="313">
        <f>SUM('Cover Page'!$I$123:$I$126,'Cover Page'!$I$135:$I$138)*Shoulder</f>
        <v>270.75114678899081</v>
      </c>
      <c r="C34" s="346" t="s">
        <v>315</v>
      </c>
      <c r="D34" s="343"/>
    </row>
    <row r="35" spans="1:5">
      <c r="A35" s="178" t="s">
        <v>201</v>
      </c>
      <c r="B35" s="313">
        <f>('Cover Page'!$I$142*Shoulder)-GSDT!B34</f>
        <v>900.86009174311903</v>
      </c>
      <c r="C35" s="309"/>
      <c r="D35" s="310"/>
    </row>
    <row r="36" spans="1:5">
      <c r="A36" s="178" t="s">
        <v>187</v>
      </c>
      <c r="B36" s="313">
        <f>(B34+B35)*Weekend</f>
        <v>0</v>
      </c>
      <c r="C36" s="309"/>
      <c r="D36" s="310"/>
    </row>
    <row r="37" spans="1:5">
      <c r="A37" s="341" t="s">
        <v>311</v>
      </c>
      <c r="B37" s="347">
        <f>B34*22</f>
        <v>5956.5252293577978</v>
      </c>
      <c r="C37" s="346" t="s">
        <v>315</v>
      </c>
      <c r="D37" s="343"/>
    </row>
    <row r="38" spans="1:5">
      <c r="A38" s="178" t="s">
        <v>313</v>
      </c>
      <c r="B38" s="313">
        <f>(22*B35)+(8*B36)</f>
        <v>19818.922018348618</v>
      </c>
      <c r="C38" s="309"/>
      <c r="D38" s="310"/>
    </row>
    <row r="39" spans="1:5" ht="15" thickBot="1">
      <c r="A39" s="321" t="s">
        <v>175</v>
      </c>
      <c r="B39" s="322">
        <f>B37+B38</f>
        <v>25775.447247706416</v>
      </c>
      <c r="C39" s="348" t="s">
        <v>295</v>
      </c>
      <c r="D39" s="324"/>
    </row>
    <row r="40" spans="1:5">
      <c r="A40" s="349"/>
      <c r="B40" s="235"/>
      <c r="C40" s="235"/>
      <c r="D40" s="235"/>
    </row>
    <row r="41" spans="1:5">
      <c r="A41" s="235"/>
      <c r="B41" s="281"/>
      <c r="C41" s="235"/>
      <c r="D41" s="235"/>
    </row>
    <row r="42" spans="1:5">
      <c r="A42" s="235"/>
      <c r="B42" s="281"/>
      <c r="C42" s="350"/>
      <c r="D42" s="235"/>
    </row>
    <row r="43" spans="1:5">
      <c r="A43" s="235"/>
      <c r="B43" s="282"/>
      <c r="C43" s="350"/>
      <c r="D43" s="235"/>
    </row>
    <row r="44" spans="1:5">
      <c r="A44" s="235"/>
      <c r="B44" s="282"/>
      <c r="C44" s="235"/>
      <c r="D44" s="235"/>
    </row>
    <row r="45" spans="1:5">
      <c r="A45" s="235"/>
      <c r="B45" s="282"/>
      <c r="C45" s="235"/>
      <c r="D45" s="235"/>
    </row>
    <row r="46" spans="1:5">
      <c r="A46" s="235"/>
      <c r="B46" s="282"/>
      <c r="C46" s="350"/>
      <c r="D46" s="235"/>
    </row>
    <row r="47" spans="1:5">
      <c r="A47" s="235"/>
      <c r="B47" s="282"/>
      <c r="C47" s="235"/>
      <c r="D47" s="235"/>
    </row>
    <row r="48" spans="1:5">
      <c r="A48" s="235"/>
      <c r="B48" s="282"/>
      <c r="C48" s="235"/>
      <c r="D48" s="235"/>
    </row>
    <row r="71" spans="1:10">
      <c r="A71" s="176" t="s">
        <v>189</v>
      </c>
      <c r="G71" s="175" t="s">
        <v>203</v>
      </c>
    </row>
    <row r="72" spans="1:10">
      <c r="A72" s="191" t="s">
        <v>188</v>
      </c>
      <c r="B72" s="276">
        <f>IF('[1]IceBank Account'!F4&lt;&gt;"",'[1]IceBank Account'!F4,0)</f>
        <v>676.32850241545884</v>
      </c>
      <c r="C72" s="276">
        <f>IF('[1]IceBank Account'!K4&lt;&gt;"",'[1]IceBank Account'!K4,0)</f>
        <v>0</v>
      </c>
      <c r="D72" s="276">
        <f>IF('[1]IceBank Account'!P4&lt;&gt;"",'[1]IceBank Account'!P4,0)</f>
        <v>100</v>
      </c>
      <c r="E72" s="276">
        <f>IF('[1]IceBank Account'!U4&lt;&gt;"",'[1]IceBank Account'!U4,0)</f>
        <v>0</v>
      </c>
      <c r="G72" t="s">
        <v>207</v>
      </c>
    </row>
    <row r="73" spans="1:10">
      <c r="A73" s="249" t="s">
        <v>10</v>
      </c>
      <c r="B73" s="277" t="s">
        <v>181</v>
      </c>
      <c r="C73" s="277" t="s">
        <v>182</v>
      </c>
      <c r="D73" s="277" t="s">
        <v>183</v>
      </c>
      <c r="E73" s="277" t="s">
        <v>184</v>
      </c>
      <c r="F73" s="294" t="s">
        <v>64</v>
      </c>
      <c r="G73" t="s">
        <v>10</v>
      </c>
      <c r="H73" t="s">
        <v>208</v>
      </c>
      <c r="I73" t="s">
        <v>204</v>
      </c>
      <c r="J73" t="s">
        <v>205</v>
      </c>
    </row>
    <row r="74" spans="1:10">
      <c r="A74">
        <f>1</f>
        <v>1</v>
      </c>
      <c r="B74" s="274">
        <f>IF('[1]IceBank Account'!B8="I",'[1]IceBank Account'!E8*$B$72*[2]Summary!$B$20,'[1]IceBank Account'!J8*[2]Summary!$B$19)</f>
        <v>351.69082125603859</v>
      </c>
      <c r="C74" s="274">
        <f>IF($C$72=0,0,IF('[1]IceBank Account'!B8="I",'[1]IceBank Account'!E8*$B$72*[2]Summary!$B$20,'[1]IceBank Account'!K8*[2]Summary!$B$19))</f>
        <v>0</v>
      </c>
      <c r="D74" s="274">
        <f>'[1]IceBank Account'!$P$4*'[1]IceBank Account'!G8*Efficiency</f>
        <v>110.00000000000001</v>
      </c>
      <c r="E74" s="274">
        <f>'[1]IceBank Account'!$U$4*'[1]IceBank Account'!H8*Efficiency</f>
        <v>0</v>
      </c>
      <c r="F74" s="295">
        <f>SUM(B74:E74)</f>
        <v>461.69082125603859</v>
      </c>
      <c r="G74">
        <v>1</v>
      </c>
      <c r="H74" s="46">
        <f>IF('[1]IceBank Account'!B8="I",'[1]IceBank Account'!E8*$B$72*[2]Summary!$B$20,SUM(B74:E74)*[2]Summary!$B$15*[2]Summary!$B$19)</f>
        <v>351.69082125603859</v>
      </c>
      <c r="I74" s="46">
        <v>0</v>
      </c>
      <c r="J74" s="46">
        <f>IF((H74-I74)&gt;0,H74-I74,0)</f>
        <v>351.69082125603859</v>
      </c>
    </row>
    <row r="75" spans="1:10">
      <c r="A75">
        <f>A74+1</f>
        <v>2</v>
      </c>
      <c r="B75" s="274">
        <f>IF('[1]IceBank Account'!B9="I",'[1]IceBank Account'!E9*$B$72*[2]Summary!$B$20,'[1]IceBank Account'!J9*[2]Summary!$B$19)</f>
        <v>351.69082125603859</v>
      </c>
      <c r="C75" s="274">
        <f>IF($C$72=0,0,IF('[1]IceBank Account'!B9="I",'[1]IceBank Account'!E9*$B$72,'[1]IceBank Account'!K9))</f>
        <v>0</v>
      </c>
      <c r="D75" s="274">
        <f>'[1]IceBank Account'!$P$4*'[1]IceBank Account'!G9*Efficiency</f>
        <v>110.00000000000001</v>
      </c>
      <c r="E75" s="274">
        <f>'[1]IceBank Account'!$U$4*'[1]IceBank Account'!H9*Efficiency</f>
        <v>0</v>
      </c>
      <c r="F75" s="295">
        <f t="shared" ref="F75:F97" si="0">SUM(B75:E75)</f>
        <v>461.69082125603859</v>
      </c>
      <c r="G75">
        <v>2</v>
      </c>
      <c r="H75" s="46">
        <f>IF('[1]IceBank Account'!B9="I",'[1]IceBank Account'!E9*$B$72*[2]Summary!$B$20,SUM(B75:E75)*[2]Summary!$B$15*[2]Summary!$B$19)</f>
        <v>351.69082125603859</v>
      </c>
      <c r="I75" s="46">
        <v>0</v>
      </c>
      <c r="J75" s="46">
        <f t="shared" ref="J75:J97" si="1">IF((H75-I75)&gt;0,H75-I75,0)</f>
        <v>351.69082125603859</v>
      </c>
    </row>
    <row r="76" spans="1:10">
      <c r="A76">
        <f t="shared" ref="A76:A97" si="2">A75+1</f>
        <v>3</v>
      </c>
      <c r="B76" s="274">
        <f>IF('[1]IceBank Account'!B10="I",'[1]IceBank Account'!E10*$B$72*[2]Summary!$B$20,'[1]IceBank Account'!J10*[2]Summary!$B$19)</f>
        <v>351.69082125603859</v>
      </c>
      <c r="C76" s="274">
        <f>IF($C$72=0,0,IF('[1]IceBank Account'!B10="I",'[1]IceBank Account'!E10*$B$72,'[1]IceBank Account'!K10))</f>
        <v>0</v>
      </c>
      <c r="D76" s="274">
        <f>'[1]IceBank Account'!$P$4*'[1]IceBank Account'!G10*Efficiency</f>
        <v>110.00000000000001</v>
      </c>
      <c r="E76" s="274">
        <f>'[1]IceBank Account'!$U$4*'[1]IceBank Account'!H10*Efficiency</f>
        <v>0</v>
      </c>
      <c r="F76" s="295">
        <f t="shared" si="0"/>
        <v>461.69082125603859</v>
      </c>
      <c r="G76">
        <v>3</v>
      </c>
      <c r="H76" s="46">
        <f>IF('[1]IceBank Account'!B10="I",'[1]IceBank Account'!E10*$B$72*[2]Summary!$B$20,SUM(B76:E76)*[2]Summary!$B$15*[2]Summary!$B$19)</f>
        <v>351.69082125603859</v>
      </c>
      <c r="I76" s="46">
        <v>0</v>
      </c>
      <c r="J76" s="46">
        <f t="shared" si="1"/>
        <v>351.69082125603859</v>
      </c>
    </row>
    <row r="77" spans="1:10">
      <c r="A77">
        <f t="shared" si="2"/>
        <v>4</v>
      </c>
      <c r="B77" s="274">
        <f>IF('[1]IceBank Account'!B11="I",'[1]IceBank Account'!E11*$B$72*[2]Summary!$B$20,'[1]IceBank Account'!J11*[2]Summary!$B$19)</f>
        <v>351.69082125603859</v>
      </c>
      <c r="C77" s="274">
        <f>IF($C$72=0,0,IF('[1]IceBank Account'!B11="I",'[1]IceBank Account'!E11*$B$72,'[1]IceBank Account'!K11))</f>
        <v>0</v>
      </c>
      <c r="D77" s="274">
        <f>'[1]IceBank Account'!$P$4*'[1]IceBank Account'!G11*Efficiency</f>
        <v>110.00000000000001</v>
      </c>
      <c r="E77" s="274">
        <f>'[1]IceBank Account'!$U$4*'[1]IceBank Account'!H11*Efficiency</f>
        <v>0</v>
      </c>
      <c r="F77" s="295">
        <f t="shared" si="0"/>
        <v>461.69082125603859</v>
      </c>
      <c r="G77">
        <v>4</v>
      </c>
      <c r="H77" s="46">
        <f>IF('[1]IceBank Account'!B11="I",'[1]IceBank Account'!E11*$B$72*[2]Summary!$B$20,SUM(B77:E77)*[2]Summary!$B$15*[2]Summary!$B$19)</f>
        <v>351.69082125603859</v>
      </c>
      <c r="I77" s="46">
        <v>0</v>
      </c>
      <c r="J77" s="46">
        <f t="shared" si="1"/>
        <v>351.69082125603859</v>
      </c>
    </row>
    <row r="78" spans="1:10">
      <c r="A78">
        <f t="shared" si="2"/>
        <v>5</v>
      </c>
      <c r="B78" s="274">
        <f>IF('[1]IceBank Account'!B12="I",'[1]IceBank Account'!E12*$B$72*[2]Summary!$B$20,'[1]IceBank Account'!J12*[2]Summary!$B$19)</f>
        <v>351.69082125603859</v>
      </c>
      <c r="C78" s="274">
        <f>IF($C$72=0,0,IF('[1]IceBank Account'!B12="I",'[1]IceBank Account'!E12*$B$72,'[1]IceBank Account'!K12))</f>
        <v>0</v>
      </c>
      <c r="D78" s="274">
        <f>'[1]IceBank Account'!$P$4*'[1]IceBank Account'!G12*Efficiency</f>
        <v>110.00000000000001</v>
      </c>
      <c r="E78" s="274">
        <f>'[1]IceBank Account'!$U$4*'[1]IceBank Account'!H12*Efficiency</f>
        <v>0</v>
      </c>
      <c r="F78" s="295">
        <f t="shared" si="0"/>
        <v>461.69082125603859</v>
      </c>
      <c r="G78">
        <v>5</v>
      </c>
      <c r="H78" s="46">
        <f>IF('[1]IceBank Account'!B12="I",'[1]IceBank Account'!E12*$B$72*[2]Summary!$B$20,SUM(B78:E78)*[2]Summary!$B$15*[2]Summary!$B$19)</f>
        <v>351.69082125603859</v>
      </c>
      <c r="I78" s="46">
        <v>0</v>
      </c>
      <c r="J78" s="46">
        <f t="shared" si="1"/>
        <v>351.69082125603859</v>
      </c>
    </row>
    <row r="79" spans="1:10">
      <c r="A79">
        <f t="shared" si="2"/>
        <v>6</v>
      </c>
      <c r="B79" s="274">
        <f>IF('[1]IceBank Account'!B13="I",'[1]IceBank Account'!E13*$B$72*[2]Summary!$B$20,'[1]IceBank Account'!J13*[2]Summary!$B$19)</f>
        <v>351.69082125603859</v>
      </c>
      <c r="C79" s="274">
        <f>IF($C$72=0,0,IF('[1]IceBank Account'!B13="I",'[1]IceBank Account'!E13*$B$72,'[1]IceBank Account'!K13))</f>
        <v>0</v>
      </c>
      <c r="D79" s="274">
        <f>'[1]IceBank Account'!$P$4*'[1]IceBank Account'!G13*Efficiency</f>
        <v>110.00000000000001</v>
      </c>
      <c r="E79" s="274">
        <f>'[1]IceBank Account'!$U$4*'[1]IceBank Account'!H13*Efficiency</f>
        <v>0</v>
      </c>
      <c r="F79" s="295">
        <f t="shared" si="0"/>
        <v>461.69082125603859</v>
      </c>
      <c r="G79">
        <v>6</v>
      </c>
      <c r="H79" s="46">
        <f>IF('[1]IceBank Account'!B13="I",'[1]IceBank Account'!E13*$B$72*[2]Summary!$B$20,SUM(B79:E79)*[2]Summary!$B$15*[2]Summary!$B$19)</f>
        <v>351.69082125603859</v>
      </c>
      <c r="I79" s="46">
        <v>0</v>
      </c>
      <c r="J79" s="46">
        <f t="shared" si="1"/>
        <v>351.69082125603859</v>
      </c>
    </row>
    <row r="80" spans="1:10">
      <c r="A80">
        <f t="shared" si="2"/>
        <v>7</v>
      </c>
      <c r="B80" s="274">
        <f>IF('[1]IceBank Account'!B14="I",'[1]IceBank Account'!E14*$B$72*[2]Summary!$B$20,'[1]IceBank Account'!J14*[2]Summary!$B$19)</f>
        <v>80</v>
      </c>
      <c r="C80" s="274">
        <f>IF($C$72=0,0,IF('[1]IceBank Account'!B14="I",'[1]IceBank Account'!E14*$B$72,'[1]IceBank Account'!K14))</f>
        <v>0</v>
      </c>
      <c r="D80" s="274">
        <f>'[1]IceBank Account'!$P$4*'[1]IceBank Account'!G14*Efficiency</f>
        <v>110.00000000000001</v>
      </c>
      <c r="E80" s="274">
        <f>'[1]IceBank Account'!$U$4*'[1]IceBank Account'!H14*Efficiency</f>
        <v>0</v>
      </c>
      <c r="F80" s="295">
        <f t="shared" si="0"/>
        <v>190</v>
      </c>
      <c r="G80" s="286">
        <v>7</v>
      </c>
      <c r="H80" s="287">
        <f>IF('[1]IceBank Account'!B14="I",'[1]IceBank Account'!E14*$B$72*[2]Summary!$B$20,SUM(B80:E80)*[2]Summary!$B$15*[2]Summary!$B$19)</f>
        <v>30.400000000000002</v>
      </c>
      <c r="I80" s="287">
        <f>H80</f>
        <v>30.400000000000002</v>
      </c>
      <c r="J80" s="287">
        <f t="shared" si="1"/>
        <v>0</v>
      </c>
    </row>
    <row r="81" spans="1:10">
      <c r="A81">
        <f t="shared" si="2"/>
        <v>8</v>
      </c>
      <c r="B81" s="274">
        <f>IF('[1]IceBank Account'!B15="I",'[1]IceBank Account'!E15*$B$72*[2]Summary!$B$20,'[1]IceBank Account'!J15*[2]Summary!$B$19)</f>
        <v>160</v>
      </c>
      <c r="C81" s="274">
        <f>IF($C$72=0,0,IF('[1]IceBank Account'!B15="I",'[1]IceBank Account'!E15*$B$72,'[1]IceBank Account'!K15))</f>
        <v>0</v>
      </c>
      <c r="D81" s="274">
        <f>'[1]IceBank Account'!$P$4*'[1]IceBank Account'!G15*Efficiency</f>
        <v>110.00000000000001</v>
      </c>
      <c r="E81" s="274">
        <f>'[1]IceBank Account'!$U$4*'[1]IceBank Account'!H15*Efficiency</f>
        <v>0</v>
      </c>
      <c r="F81" s="295">
        <f t="shared" si="0"/>
        <v>270</v>
      </c>
      <c r="G81" s="286">
        <v>8</v>
      </c>
      <c r="H81" s="287">
        <f>IF('[1]IceBank Account'!B15="I",'[1]IceBank Account'!E15*$B$72*[2]Summary!$B$20,SUM(B81:E81)*[2]Summary!$B$15*[2]Summary!$B$19)</f>
        <v>43.2</v>
      </c>
      <c r="I81" s="287">
        <f t="shared" ref="I81:I83" si="3">H81</f>
        <v>43.2</v>
      </c>
      <c r="J81" s="287">
        <f t="shared" si="1"/>
        <v>0</v>
      </c>
    </row>
    <row r="82" spans="1:10">
      <c r="A82">
        <f t="shared" si="2"/>
        <v>9</v>
      </c>
      <c r="B82" s="274">
        <f>IF('[1]IceBank Account'!B16="I",'[1]IceBank Account'!E16*$B$72*[2]Summary!$B$20,'[1]IceBank Account'!J16*[2]Summary!$B$19)</f>
        <v>240</v>
      </c>
      <c r="C82" s="274">
        <f>IF($C$72=0,0,IF('[1]IceBank Account'!B16="I",'[1]IceBank Account'!E16*$B$72,'[1]IceBank Account'!K16))</f>
        <v>0</v>
      </c>
      <c r="D82" s="274">
        <f>'[1]IceBank Account'!$P$4*'[1]IceBank Account'!G16*Efficiency</f>
        <v>110.00000000000001</v>
      </c>
      <c r="E82" s="274">
        <f>'[1]IceBank Account'!$U$4*'[1]IceBank Account'!H16*Efficiency</f>
        <v>0</v>
      </c>
      <c r="F82" s="295">
        <f t="shared" si="0"/>
        <v>350</v>
      </c>
      <c r="G82" s="286">
        <v>9</v>
      </c>
      <c r="H82" s="287">
        <f>IF('[1]IceBank Account'!B16="I",'[1]IceBank Account'!E16*$B$72*[2]Summary!$B$20,SUM(B82:E82)*[2]Summary!$B$15*[2]Summary!$B$19)</f>
        <v>56</v>
      </c>
      <c r="I82" s="287">
        <f t="shared" si="3"/>
        <v>56</v>
      </c>
      <c r="J82" s="287">
        <f t="shared" si="1"/>
        <v>0</v>
      </c>
    </row>
    <row r="83" spans="1:10">
      <c r="A83">
        <f t="shared" si="2"/>
        <v>10</v>
      </c>
      <c r="B83" s="274">
        <f>IF('[1]IceBank Account'!B17="I",'[1]IceBank Account'!E17*$B$72*[2]Summary!$B$20,'[1]IceBank Account'!J17*[2]Summary!$B$19)</f>
        <v>320</v>
      </c>
      <c r="C83" s="274">
        <f>IF($C$72=0,0,IF('[1]IceBank Account'!B17="I",'[1]IceBank Account'!E17*$B$72,'[1]IceBank Account'!K17))</f>
        <v>0</v>
      </c>
      <c r="D83" s="274">
        <f>'[1]IceBank Account'!$P$4*'[1]IceBank Account'!G17*Efficiency</f>
        <v>110.00000000000001</v>
      </c>
      <c r="E83" s="274">
        <f>'[1]IceBank Account'!$U$4*'[1]IceBank Account'!H17*Efficiency</f>
        <v>0</v>
      </c>
      <c r="F83" s="295">
        <f t="shared" si="0"/>
        <v>430</v>
      </c>
      <c r="G83" s="286">
        <v>10</v>
      </c>
      <c r="H83" s="287">
        <f>IF('[1]IceBank Account'!B17="I",'[1]IceBank Account'!E17*$B$72*[2]Summary!$B$20,SUM(B83:E83)*[2]Summary!$B$15*[2]Summary!$B$19)</f>
        <v>68.8</v>
      </c>
      <c r="I83" s="287">
        <f t="shared" si="3"/>
        <v>68.8</v>
      </c>
      <c r="J83" s="287">
        <f t="shared" si="1"/>
        <v>0</v>
      </c>
    </row>
    <row r="84" spans="1:10">
      <c r="A84">
        <f t="shared" si="2"/>
        <v>11</v>
      </c>
      <c r="B84" s="274">
        <f>IF('[1]IceBank Account'!B18="I",'[1]IceBank Account'!E18*$B$72*[2]Summary!$B$20,'[1]IceBank Account'!J18*[2]Summary!$B$19)</f>
        <v>486.95652173913044</v>
      </c>
      <c r="C84" s="274">
        <f>IF($C$72=0,0,IF('[1]IceBank Account'!B18="I",'[1]IceBank Account'!E18*$B$72,'[1]IceBank Account'!K18))</f>
        <v>0</v>
      </c>
      <c r="D84" s="274">
        <f>'[1]IceBank Account'!$P$4*'[1]IceBank Account'!G18*Efficiency</f>
        <v>110.00000000000001</v>
      </c>
      <c r="E84" s="274">
        <f>'[1]IceBank Account'!$U$4*'[1]IceBank Account'!H18*Efficiency</f>
        <v>0</v>
      </c>
      <c r="F84" s="295">
        <f t="shared" si="0"/>
        <v>596.95652173913049</v>
      </c>
      <c r="G84">
        <v>11</v>
      </c>
      <c r="H84" s="46">
        <f>IF('[1]IceBank Account'!B18="I",'[1]IceBank Account'!E18*$B$72*[2]Summary!$B$20,SUM(B84:E84)*[2]Summary!$B$15*[2]Summary!$B$19)</f>
        <v>95.513043478260897</v>
      </c>
      <c r="I84" s="288">
        <f t="shared" ref="I84:I91" si="4">($I$100-SUM($I$80:$I$83,$I$92:$I$95))/8</f>
        <v>296.29082125603861</v>
      </c>
      <c r="J84" s="46">
        <f t="shared" si="1"/>
        <v>0</v>
      </c>
    </row>
    <row r="85" spans="1:10">
      <c r="A85">
        <f t="shared" si="2"/>
        <v>12</v>
      </c>
      <c r="B85" s="274">
        <f>IF('[1]IceBank Account'!B19="I",'[1]IceBank Account'!E19*$B$72*[2]Summary!$B$20,'[1]IceBank Account'!J19*[2]Summary!$B$19)</f>
        <v>486.95652173913044</v>
      </c>
      <c r="C85" s="274">
        <f>IF($C$72=0,0,IF('[1]IceBank Account'!B19="I",'[1]IceBank Account'!E19*$B$72,'[1]IceBank Account'!K19))</f>
        <v>0</v>
      </c>
      <c r="D85" s="274">
        <f>'[1]IceBank Account'!$P$4*'[1]IceBank Account'!G19*Efficiency</f>
        <v>110.00000000000001</v>
      </c>
      <c r="E85" s="274">
        <f>'[1]IceBank Account'!$U$4*'[1]IceBank Account'!H19*Efficiency</f>
        <v>0</v>
      </c>
      <c r="F85" s="295">
        <f t="shared" si="0"/>
        <v>596.95652173913049</v>
      </c>
      <c r="G85">
        <v>12</v>
      </c>
      <c r="H85" s="46">
        <f>IF('[1]IceBank Account'!B19="I",'[1]IceBank Account'!E19*$B$72*[2]Summary!$B$20,SUM(B85:E85)*[2]Summary!$B$15*[2]Summary!$B$19)</f>
        <v>95.513043478260897</v>
      </c>
      <c r="I85" s="288">
        <f t="shared" si="4"/>
        <v>296.29082125603861</v>
      </c>
      <c r="J85" s="46">
        <f t="shared" si="1"/>
        <v>0</v>
      </c>
    </row>
    <row r="86" spans="1:10">
      <c r="A86">
        <f t="shared" si="2"/>
        <v>13</v>
      </c>
      <c r="B86" s="274">
        <f>IF('[1]IceBank Account'!B20="I",'[1]IceBank Account'!E20*$B$72*[2]Summary!$B$20,'[1]IceBank Account'!J20*[2]Summary!$B$19)</f>
        <v>486.95652173913044</v>
      </c>
      <c r="C86" s="274">
        <f>IF($C$72=0,0,IF('[1]IceBank Account'!B20="I",'[1]IceBank Account'!E20*$B$72,'[1]IceBank Account'!K20))</f>
        <v>0</v>
      </c>
      <c r="D86" s="274">
        <f>'[1]IceBank Account'!$P$4*'[1]IceBank Account'!G20*Efficiency</f>
        <v>110.00000000000001</v>
      </c>
      <c r="E86" s="274">
        <f>'[1]IceBank Account'!$U$4*'[1]IceBank Account'!H20*Efficiency</f>
        <v>0</v>
      </c>
      <c r="F86" s="295">
        <f t="shared" si="0"/>
        <v>596.95652173913049</v>
      </c>
      <c r="G86">
        <v>13</v>
      </c>
      <c r="H86" s="46">
        <f>IF('[1]IceBank Account'!B20="I",'[1]IceBank Account'!E20*$B$72*[2]Summary!$B$20,SUM(B86:E86)*[2]Summary!$B$15*[2]Summary!$B$19)</f>
        <v>95.513043478260897</v>
      </c>
      <c r="I86" s="288">
        <f t="shared" si="4"/>
        <v>296.29082125603861</v>
      </c>
      <c r="J86" s="46">
        <f t="shared" si="1"/>
        <v>0</v>
      </c>
    </row>
    <row r="87" spans="1:10">
      <c r="A87">
        <f t="shared" si="2"/>
        <v>14</v>
      </c>
      <c r="B87" s="274">
        <f>IF('[1]IceBank Account'!B21="I",'[1]IceBank Account'!E21*$B$72*[2]Summary!$B$20,'[1]IceBank Account'!J21*[2]Summary!$B$19)</f>
        <v>486.95652173913044</v>
      </c>
      <c r="C87" s="274">
        <f>IF($C$72=0,0,IF('[1]IceBank Account'!B21="I",'[1]IceBank Account'!E21*$B$72,'[1]IceBank Account'!K21))</f>
        <v>0</v>
      </c>
      <c r="D87" s="274">
        <f>'[1]IceBank Account'!$P$4*'[1]IceBank Account'!G21*Efficiency</f>
        <v>110.00000000000001</v>
      </c>
      <c r="E87" s="274">
        <f>'[1]IceBank Account'!$U$4*'[1]IceBank Account'!H21*Efficiency</f>
        <v>0</v>
      </c>
      <c r="F87" s="295">
        <f t="shared" si="0"/>
        <v>596.95652173913049</v>
      </c>
      <c r="G87">
        <v>14</v>
      </c>
      <c r="H87" s="46">
        <f>IF('[1]IceBank Account'!B21="I",'[1]IceBank Account'!E21*$B$72*[2]Summary!$B$20,SUM(B87:E87)*[2]Summary!$B$15*[2]Summary!$B$19)</f>
        <v>95.513043478260897</v>
      </c>
      <c r="I87" s="288">
        <f t="shared" si="4"/>
        <v>296.29082125603861</v>
      </c>
      <c r="J87" s="46">
        <f t="shared" si="1"/>
        <v>0</v>
      </c>
    </row>
    <row r="88" spans="1:10">
      <c r="A88">
        <f t="shared" si="2"/>
        <v>15</v>
      </c>
      <c r="B88" s="274">
        <f>IF('[1]IceBank Account'!B22="I",'[1]IceBank Account'!E22*$B$72*[2]Summary!$B$20,'[1]IceBank Account'!J22*[2]Summary!$B$19)</f>
        <v>486.95652173913044</v>
      </c>
      <c r="C88" s="274">
        <f>IF($C$72=0,0,IF('[1]IceBank Account'!B22="I",'[1]IceBank Account'!E22*$B$72,'[1]IceBank Account'!K22))</f>
        <v>0</v>
      </c>
      <c r="D88" s="274">
        <f>'[1]IceBank Account'!$P$4*'[1]IceBank Account'!G22*Efficiency</f>
        <v>110.00000000000001</v>
      </c>
      <c r="E88" s="274">
        <f>'[1]IceBank Account'!$U$4*'[1]IceBank Account'!H22*Efficiency</f>
        <v>0</v>
      </c>
      <c r="F88" s="295">
        <f t="shared" si="0"/>
        <v>596.95652173913049</v>
      </c>
      <c r="G88">
        <v>15</v>
      </c>
      <c r="H88" s="46">
        <f>IF('[1]IceBank Account'!B22="I",'[1]IceBank Account'!E22*$B$72*[2]Summary!$B$20,SUM(B88:E88)*[2]Summary!$B$15*[2]Summary!$B$19)</f>
        <v>95.513043478260897</v>
      </c>
      <c r="I88" s="288">
        <f t="shared" si="4"/>
        <v>296.29082125603861</v>
      </c>
      <c r="J88" s="46">
        <f t="shared" si="1"/>
        <v>0</v>
      </c>
    </row>
    <row r="89" spans="1:10">
      <c r="A89">
        <f t="shared" si="2"/>
        <v>16</v>
      </c>
      <c r="B89" s="274">
        <f>IF('[1]IceBank Account'!B23="I",'[1]IceBank Account'!E23*$B$72*[2]Summary!$B$20,'[1]IceBank Account'!J23*[2]Summary!$B$19)</f>
        <v>0</v>
      </c>
      <c r="C89" s="274">
        <f>IF($C$72=0,0,IF('[1]IceBank Account'!B23="I",'[1]IceBank Account'!E23*$B$72,'[1]IceBank Account'!K23))</f>
        <v>0</v>
      </c>
      <c r="D89" s="274">
        <f>'[1]IceBank Account'!$P$4*'[1]IceBank Account'!G23*Efficiency</f>
        <v>0</v>
      </c>
      <c r="E89" s="274">
        <f>'[1]IceBank Account'!$U$4*'[1]IceBank Account'!H23*Efficiency</f>
        <v>0</v>
      </c>
      <c r="F89" s="295">
        <f t="shared" si="0"/>
        <v>0</v>
      </c>
      <c r="G89">
        <v>16</v>
      </c>
      <c r="H89" s="46">
        <f>IF('[1]IceBank Account'!B23="I",'[1]IceBank Account'!E23*$B$72*[2]Summary!$B$20,SUM(B89:E89)*[2]Summary!$B$15*[2]Summary!$B$19)</f>
        <v>0</v>
      </c>
      <c r="I89" s="288">
        <f t="shared" si="4"/>
        <v>296.29082125603861</v>
      </c>
      <c r="J89" s="46">
        <f t="shared" si="1"/>
        <v>0</v>
      </c>
    </row>
    <row r="90" spans="1:10">
      <c r="A90">
        <f t="shared" si="2"/>
        <v>17</v>
      </c>
      <c r="B90" s="274">
        <f>IF('[1]IceBank Account'!B24="I",'[1]IceBank Account'!E24*$B$72*[2]Summary!$B$20,'[1]IceBank Account'!J24*[2]Summary!$B$19)</f>
        <v>0</v>
      </c>
      <c r="C90" s="274">
        <f>IF($C$72=0,0,IF('[1]IceBank Account'!B24="I",'[1]IceBank Account'!E24*$B$72,'[1]IceBank Account'!K24))</f>
        <v>0</v>
      </c>
      <c r="D90" s="274">
        <f>'[1]IceBank Account'!$P$4*'[1]IceBank Account'!G24*Efficiency</f>
        <v>0</v>
      </c>
      <c r="E90" s="274">
        <f>'[1]IceBank Account'!$U$4*'[1]IceBank Account'!H24*Efficiency</f>
        <v>0</v>
      </c>
      <c r="F90" s="295">
        <f t="shared" si="0"/>
        <v>0</v>
      </c>
      <c r="G90">
        <v>17</v>
      </c>
      <c r="H90" s="46">
        <f>IF('[1]IceBank Account'!B24="I",'[1]IceBank Account'!E24*$B$72*[2]Summary!$B$20,SUM(B90:E90)*[2]Summary!$B$15*[2]Summary!$B$19)</f>
        <v>0</v>
      </c>
      <c r="I90" s="288">
        <f t="shared" si="4"/>
        <v>296.29082125603861</v>
      </c>
      <c r="J90" s="46">
        <f t="shared" si="1"/>
        <v>0</v>
      </c>
    </row>
    <row r="91" spans="1:10">
      <c r="A91">
        <f t="shared" si="2"/>
        <v>18</v>
      </c>
      <c r="B91" s="274">
        <f>IF('[1]IceBank Account'!B25="I",'[1]IceBank Account'!E25*$B$72*[2]Summary!$B$20,'[1]IceBank Account'!J25*[2]Summary!$B$19)</f>
        <v>0</v>
      </c>
      <c r="C91" s="274">
        <f>IF($C$72=0,0,IF('[1]IceBank Account'!B25="I",'[1]IceBank Account'!E25*$B$72,'[1]IceBank Account'!K25))</f>
        <v>0</v>
      </c>
      <c r="D91" s="274">
        <f>'[1]IceBank Account'!$P$4*'[1]IceBank Account'!G25*Efficiency</f>
        <v>0</v>
      </c>
      <c r="E91" s="274">
        <f>'[1]IceBank Account'!$U$4*'[1]IceBank Account'!H25*Efficiency</f>
        <v>0</v>
      </c>
      <c r="F91" s="295">
        <f t="shared" si="0"/>
        <v>0</v>
      </c>
      <c r="G91">
        <v>18</v>
      </c>
      <c r="H91" s="46">
        <f>IF('[1]IceBank Account'!B25="I",'[1]IceBank Account'!E25*$B$72*[2]Summary!$B$20,SUM(B91:E91)*[2]Summary!$B$15*[2]Summary!$B$19)</f>
        <v>0</v>
      </c>
      <c r="I91" s="288">
        <f t="shared" si="4"/>
        <v>296.29082125603861</v>
      </c>
      <c r="J91" s="46">
        <f t="shared" si="1"/>
        <v>0</v>
      </c>
    </row>
    <row r="92" spans="1:10">
      <c r="A92">
        <f t="shared" si="2"/>
        <v>19</v>
      </c>
      <c r="B92" s="274">
        <f>IF('[1]IceBank Account'!B26="I",'[1]IceBank Account'!E26*$B$72*[2]Summary!$B$20,'[1]IceBank Account'!J26*[2]Summary!$B$19)</f>
        <v>400</v>
      </c>
      <c r="C92" s="274">
        <f>IF($C$72=0,0,IF('[1]IceBank Account'!B26="I",'[1]IceBank Account'!E26*$B$72,'[1]IceBank Account'!K26))</f>
        <v>0</v>
      </c>
      <c r="D92" s="274">
        <f>'[1]IceBank Account'!$P$4*'[1]IceBank Account'!G26*Efficiency</f>
        <v>110.00000000000001</v>
      </c>
      <c r="E92" s="274">
        <f>'[1]IceBank Account'!$U$4*'[1]IceBank Account'!H26*Efficiency</f>
        <v>0</v>
      </c>
      <c r="F92" s="295">
        <f t="shared" si="0"/>
        <v>510</v>
      </c>
      <c r="G92" s="286">
        <v>19</v>
      </c>
      <c r="H92" s="287">
        <f>IF('[1]IceBank Account'!B26="I",'[1]IceBank Account'!E26*$B$72*[2]Summary!$B$20,SUM(B92:E92)*[2]Summary!$B$15*[2]Summary!$B$19)</f>
        <v>81.600000000000009</v>
      </c>
      <c r="I92" s="287">
        <f>H92</f>
        <v>81.600000000000009</v>
      </c>
      <c r="J92" s="287">
        <f t="shared" si="1"/>
        <v>0</v>
      </c>
    </row>
    <row r="93" spans="1:10">
      <c r="A93">
        <f t="shared" si="2"/>
        <v>20</v>
      </c>
      <c r="B93" s="274">
        <f>IF('[1]IceBank Account'!B27="I",'[1]IceBank Account'!E27*$B$72*[2]Summary!$B$20,'[1]IceBank Account'!J27*[2]Summary!$B$19)</f>
        <v>400</v>
      </c>
      <c r="C93" s="274">
        <f>IF($C$72=0,0,IF('[1]IceBank Account'!B27="I",'[1]IceBank Account'!E27*$B$72,'[1]IceBank Account'!K27))</f>
        <v>0</v>
      </c>
      <c r="D93" s="274">
        <f>'[1]IceBank Account'!$P$4*'[1]IceBank Account'!G27*Efficiency</f>
        <v>110.00000000000001</v>
      </c>
      <c r="E93" s="274">
        <f>'[1]IceBank Account'!$U$4*'[1]IceBank Account'!H27*Efficiency</f>
        <v>0</v>
      </c>
      <c r="F93" s="295">
        <f t="shared" si="0"/>
        <v>510</v>
      </c>
      <c r="G93" s="286">
        <v>20</v>
      </c>
      <c r="H93" s="287">
        <f>IF('[1]IceBank Account'!B27="I",'[1]IceBank Account'!E27*$B$72*[2]Summary!$B$20,SUM(B93:E93)*[2]Summary!$B$15*[2]Summary!$B$19)</f>
        <v>81.600000000000009</v>
      </c>
      <c r="I93" s="287">
        <f t="shared" ref="I93:I95" si="5">H93</f>
        <v>81.600000000000009</v>
      </c>
      <c r="J93" s="287">
        <f t="shared" si="1"/>
        <v>0</v>
      </c>
    </row>
    <row r="94" spans="1:10">
      <c r="A94">
        <f t="shared" si="2"/>
        <v>21</v>
      </c>
      <c r="B94" s="274">
        <f>IF('[1]IceBank Account'!B28="I",'[1]IceBank Account'!E28*$B$72*[2]Summary!$B$20,'[1]IceBank Account'!J28*[2]Summary!$B$19)</f>
        <v>400</v>
      </c>
      <c r="C94" s="274">
        <f>IF($C$72=0,0,IF('[1]IceBank Account'!B28="I",'[1]IceBank Account'!E28*$B$72,'[1]IceBank Account'!K28))</f>
        <v>0</v>
      </c>
      <c r="D94" s="274">
        <f>'[1]IceBank Account'!$P$4*'[1]IceBank Account'!G28*Efficiency</f>
        <v>110.00000000000001</v>
      </c>
      <c r="E94" s="274">
        <f>'[1]IceBank Account'!$U$4*'[1]IceBank Account'!H28*Efficiency</f>
        <v>0</v>
      </c>
      <c r="F94" s="295">
        <f t="shared" si="0"/>
        <v>510</v>
      </c>
      <c r="G94" s="286">
        <v>21</v>
      </c>
      <c r="H94" s="287">
        <f>IF('[1]IceBank Account'!B28="I",'[1]IceBank Account'!E28*$B$72*[2]Summary!$B$20,SUM(B94:E94)*[2]Summary!$B$15*[2]Summary!$B$19)</f>
        <v>81.600000000000009</v>
      </c>
      <c r="I94" s="287">
        <f t="shared" si="5"/>
        <v>81.600000000000009</v>
      </c>
      <c r="J94" s="287">
        <f t="shared" si="1"/>
        <v>0</v>
      </c>
    </row>
    <row r="95" spans="1:10">
      <c r="A95">
        <f t="shared" si="2"/>
        <v>22</v>
      </c>
      <c r="B95" s="274">
        <f>IF('[1]IceBank Account'!B29="I",'[1]IceBank Account'!E29*$B$72*[2]Summary!$B$20,'[1]IceBank Account'!J29*[2]Summary!$B$19)</f>
        <v>351.69082125603859</v>
      </c>
      <c r="C95" s="274">
        <f>IF($C$72=0,0,IF('[1]IceBank Account'!B29="I",'[1]IceBank Account'!E29*$B$72,'[1]IceBank Account'!K29))</f>
        <v>0</v>
      </c>
      <c r="D95" s="274">
        <f>'[1]IceBank Account'!$P$4*'[1]IceBank Account'!G29*Efficiency</f>
        <v>110.00000000000001</v>
      </c>
      <c r="E95" s="274">
        <f>'[1]IceBank Account'!$U$4*'[1]IceBank Account'!H29*Efficiency</f>
        <v>0</v>
      </c>
      <c r="F95" s="295">
        <f t="shared" si="0"/>
        <v>461.69082125603859</v>
      </c>
      <c r="G95" s="286">
        <v>22</v>
      </c>
      <c r="H95" s="287">
        <f>IF('[1]IceBank Account'!B29="I",'[1]IceBank Account'!E29*$B$72*[2]Summary!$B$20,SUM(B95:E95)*[2]Summary!$B$15*[2]Summary!$B$19)</f>
        <v>351.69082125603859</v>
      </c>
      <c r="I95" s="287">
        <f t="shared" si="5"/>
        <v>351.69082125603859</v>
      </c>
      <c r="J95" s="287">
        <f t="shared" si="1"/>
        <v>0</v>
      </c>
    </row>
    <row r="96" spans="1:10">
      <c r="A96">
        <f t="shared" si="2"/>
        <v>23</v>
      </c>
      <c r="B96" s="274">
        <f>IF('[1]IceBank Account'!B30="I",'[1]IceBank Account'!E30*$B$72*[2]Summary!$B$20,'[1]IceBank Account'!J30*[2]Summary!$B$19)</f>
        <v>351.69082125603859</v>
      </c>
      <c r="C96" s="274">
        <f>IF($C$72=0,0,IF('[1]IceBank Account'!B30="I",'[1]IceBank Account'!E30*$B$72,'[1]IceBank Account'!K30))</f>
        <v>0</v>
      </c>
      <c r="D96" s="274">
        <f>'[1]IceBank Account'!$P$4*'[1]IceBank Account'!G30*Efficiency</f>
        <v>110.00000000000001</v>
      </c>
      <c r="E96" s="274">
        <f>'[1]IceBank Account'!$U$4*'[1]IceBank Account'!H30*Efficiency</f>
        <v>0</v>
      </c>
      <c r="F96" s="295">
        <f t="shared" si="0"/>
        <v>461.69082125603859</v>
      </c>
      <c r="G96">
        <v>23</v>
      </c>
      <c r="H96" s="46">
        <f>IF('[1]IceBank Account'!B30="I",'[1]IceBank Account'!E30*$B$72*[2]Summary!$B$20,SUM(B96:E96)*[2]Summary!$B$15*[2]Summary!$B$19)</f>
        <v>351.69082125603859</v>
      </c>
      <c r="I96" s="46">
        <v>0</v>
      </c>
      <c r="J96" s="46">
        <f t="shared" si="1"/>
        <v>351.69082125603859</v>
      </c>
    </row>
    <row r="97" spans="1:10">
      <c r="A97">
        <f t="shared" si="2"/>
        <v>24</v>
      </c>
      <c r="B97" s="274">
        <f>IF('[1]IceBank Account'!B31="I",'[1]IceBank Account'!E31*$B$72*[2]Summary!$B$20,'[1]IceBank Account'!J31*[2]Summary!$B$19)</f>
        <v>351.69082125603859</v>
      </c>
      <c r="C97" s="274">
        <f>IF($C$72=0,0,IF('[1]IceBank Account'!B31="I",'[1]IceBank Account'!E31*$B$72,'[1]IceBank Account'!K31))</f>
        <v>0</v>
      </c>
      <c r="D97" s="274">
        <f>'[1]IceBank Account'!$P$4*'[1]IceBank Account'!G31*Efficiency</f>
        <v>110.00000000000001</v>
      </c>
      <c r="E97" s="274">
        <f>'[1]IceBank Account'!$U$4*'[1]IceBank Account'!H31*Efficiency</f>
        <v>0</v>
      </c>
      <c r="F97" s="295">
        <f t="shared" si="0"/>
        <v>461.69082125603859</v>
      </c>
      <c r="G97">
        <v>24</v>
      </c>
      <c r="H97" s="46">
        <f>IF('[1]IceBank Account'!B31="I",'[1]IceBank Account'!E31*$B$72*[2]Summary!$B$20,SUM(B97:E97)*[2]Summary!$B$15*[2]Summary!$B$19)</f>
        <v>351.69082125603859</v>
      </c>
      <c r="I97" s="46">
        <v>0</v>
      </c>
      <c r="J97" s="46">
        <f t="shared" si="1"/>
        <v>351.69082125603859</v>
      </c>
    </row>
    <row r="98" spans="1:10">
      <c r="F98" s="295"/>
      <c r="I98" s="46"/>
    </row>
    <row r="99" spans="1:10">
      <c r="F99" s="295"/>
      <c r="H99" s="293" t="s">
        <v>211</v>
      </c>
      <c r="I99" s="292">
        <f>'[1]IceBank Account'!M33</f>
        <v>3956.5217391304341</v>
      </c>
    </row>
    <row r="100" spans="1:10">
      <c r="H100" s="293" t="s">
        <v>212</v>
      </c>
      <c r="I100" s="292">
        <f>I99*[2]Summary!$B$19</f>
        <v>3165.2173913043475</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00"/>
  <sheetViews>
    <sheetView showGridLines="0" zoomScale="80" zoomScaleNormal="80" workbookViewId="0">
      <selection activeCell="B8" sqref="B8"/>
    </sheetView>
  </sheetViews>
  <sheetFormatPr defaultRowHeight="14.5"/>
  <cols>
    <col min="1" max="1" width="33.453125" customWidth="1"/>
    <col min="2" max="2" width="15.1796875" customWidth="1"/>
    <col min="6" max="6" width="36.1796875" customWidth="1"/>
    <col min="7" max="7" width="20" customWidth="1"/>
    <col min="8" max="8" width="13.453125" customWidth="1"/>
    <col min="11" max="11" width="32.54296875" customWidth="1"/>
    <col min="12" max="12" width="16.26953125" customWidth="1"/>
    <col min="13" max="13" width="13.453125" customWidth="1"/>
  </cols>
  <sheetData>
    <row r="1" spans="1:14">
      <c r="A1" s="175" t="s">
        <v>317</v>
      </c>
    </row>
    <row r="2" spans="1:14">
      <c r="A2" t="s">
        <v>318</v>
      </c>
    </row>
    <row r="3" spans="1:14">
      <c r="A3" t="s">
        <v>319</v>
      </c>
    </row>
    <row r="5" spans="1:14">
      <c r="A5" s="278" t="s">
        <v>301</v>
      </c>
      <c r="B5" s="259"/>
      <c r="F5" s="175" t="s">
        <v>161</v>
      </c>
      <c r="K5" s="175" t="s">
        <v>176</v>
      </c>
    </row>
    <row r="6" spans="1:14">
      <c r="A6" s="248" t="s">
        <v>192</v>
      </c>
      <c r="B6" s="279">
        <v>59.51</v>
      </c>
      <c r="F6" t="s">
        <v>174</v>
      </c>
      <c r="G6" s="271">
        <f>MAX('IceBank Account'!$C$8:$C$31)</f>
        <v>250</v>
      </c>
      <c r="K6" t="s">
        <v>177</v>
      </c>
      <c r="L6" s="271">
        <f>Summary!$I$6</f>
        <v>250</v>
      </c>
    </row>
    <row r="7" spans="1:14">
      <c r="A7" s="248" t="s">
        <v>302</v>
      </c>
      <c r="B7" s="280">
        <v>11.57</v>
      </c>
      <c r="K7" t="s">
        <v>178</v>
      </c>
      <c r="L7">
        <f>'IceBank Account'!$Q$33</f>
        <v>4</v>
      </c>
    </row>
    <row r="8" spans="1:14">
      <c r="A8" s="248" t="s">
        <v>303</v>
      </c>
      <c r="B8" s="257">
        <v>6.5680000000000002E-2</v>
      </c>
      <c r="F8" s="191" t="s">
        <v>162</v>
      </c>
      <c r="K8" s="191" t="s">
        <v>162</v>
      </c>
    </row>
    <row r="9" spans="1:14">
      <c r="A9" s="248" t="s">
        <v>304</v>
      </c>
      <c r="B9" s="257">
        <v>3.7150000000000002E-2</v>
      </c>
      <c r="F9" s="258" t="s">
        <v>305</v>
      </c>
      <c r="G9" s="284" t="s">
        <v>163</v>
      </c>
      <c r="H9" s="245" t="s">
        <v>164</v>
      </c>
      <c r="I9" s="12"/>
      <c r="K9" s="258" t="s">
        <v>306</v>
      </c>
      <c r="L9" s="284" t="s">
        <v>163</v>
      </c>
      <c r="M9" s="245" t="s">
        <v>164</v>
      </c>
      <c r="N9" s="12"/>
    </row>
    <row r="10" spans="1:14" ht="15" thickBot="1">
      <c r="A10" s="289" t="s">
        <v>209</v>
      </c>
      <c r="B10" s="290">
        <f>Tax</f>
        <v>0.08</v>
      </c>
      <c r="F10" t="s">
        <v>190</v>
      </c>
      <c r="G10" s="283" t="s">
        <v>196</v>
      </c>
      <c r="H10" s="260">
        <f>B6</f>
        <v>59.51</v>
      </c>
      <c r="K10" t="s">
        <v>190</v>
      </c>
      <c r="L10" s="283" t="s">
        <v>196</v>
      </c>
      <c r="M10" s="260">
        <f>B6</f>
        <v>59.51</v>
      </c>
    </row>
    <row r="11" spans="1:14">
      <c r="A11" s="339"/>
      <c r="B11" s="339"/>
      <c r="F11" t="s">
        <v>191</v>
      </c>
      <c r="G11" s="281">
        <f>B16</f>
        <v>275</v>
      </c>
      <c r="H11" s="260">
        <f>G11*$B$7</f>
        <v>3181.75</v>
      </c>
      <c r="K11" t="s">
        <v>191</v>
      </c>
      <c r="L11" s="281">
        <f>B24</f>
        <v>170.12614678899081</v>
      </c>
      <c r="M11" s="260">
        <f>L11*$B$7</f>
        <v>1968.3595183486236</v>
      </c>
    </row>
    <row r="12" spans="1:14" ht="15" thickBot="1">
      <c r="A12" s="344"/>
      <c r="B12" s="345"/>
      <c r="F12" t="s">
        <v>198</v>
      </c>
      <c r="G12" s="282">
        <f>B19</f>
        <v>22385</v>
      </c>
      <c r="H12" s="260">
        <f>G12*$B$8</f>
        <v>1470.2468000000001</v>
      </c>
      <c r="K12" t="s">
        <v>198</v>
      </c>
      <c r="L12" s="282">
        <f>B28</f>
        <v>16920.825688073393</v>
      </c>
      <c r="M12" s="260">
        <f>L12*$B$8</f>
        <v>1111.3598311926605</v>
      </c>
    </row>
    <row r="13" spans="1:14">
      <c r="A13" s="305" t="s">
        <v>202</v>
      </c>
      <c r="B13" s="306"/>
      <c r="C13" s="306"/>
      <c r="D13" s="307"/>
      <c r="F13" t="s">
        <v>199</v>
      </c>
      <c r="G13" s="282">
        <f>B20</f>
        <v>26317.5</v>
      </c>
      <c r="H13" s="260">
        <f>G13*$B$9</f>
        <v>977.69512500000008</v>
      </c>
      <c r="K13" t="s">
        <v>199</v>
      </c>
      <c r="L13" s="282">
        <f>B29</f>
        <v>34630.068807339441</v>
      </c>
      <c r="M13" s="260">
        <f>L13*$B$9</f>
        <v>1286.5070561926602</v>
      </c>
    </row>
    <row r="14" spans="1:14">
      <c r="A14" s="308" t="s">
        <v>307</v>
      </c>
      <c r="B14" s="309"/>
      <c r="C14" s="309"/>
      <c r="D14" s="310"/>
      <c r="F14" s="175" t="s">
        <v>165</v>
      </c>
      <c r="G14" s="175"/>
      <c r="H14" s="222">
        <f>SUM(H10:H13)</f>
        <v>5689.2019250000003</v>
      </c>
      <c r="I14" t="s">
        <v>308</v>
      </c>
      <c r="K14" s="175" t="s">
        <v>165</v>
      </c>
      <c r="L14" s="175"/>
      <c r="M14" s="222">
        <f>SUM(M10:M13)</f>
        <v>4425.7364057339446</v>
      </c>
      <c r="N14" t="s">
        <v>308</v>
      </c>
    </row>
    <row r="15" spans="1:14">
      <c r="A15" s="178" t="s">
        <v>309</v>
      </c>
      <c r="B15" s="311">
        <f>AVERAGE('IceBank Account'!$C$8:$C$31)*Efficiency</f>
        <v>92.239583333333343</v>
      </c>
      <c r="C15" s="312"/>
      <c r="D15" s="310"/>
      <c r="F15" s="176" t="s">
        <v>310</v>
      </c>
      <c r="G15" s="284" t="s">
        <v>163</v>
      </c>
      <c r="H15" s="245" t="s">
        <v>164</v>
      </c>
      <c r="K15" s="176" t="s">
        <v>310</v>
      </c>
      <c r="L15" s="284" t="s">
        <v>163</v>
      </c>
      <c r="M15" s="245" t="s">
        <v>164</v>
      </c>
    </row>
    <row r="16" spans="1:14">
      <c r="A16" s="178" t="s">
        <v>264</v>
      </c>
      <c r="B16" s="311">
        <f>MAX('IceBank Account'!$C$8:$C$31)*Efficiency</f>
        <v>275</v>
      </c>
      <c r="C16" s="309"/>
      <c r="D16" s="310"/>
      <c r="F16" t="s">
        <v>190</v>
      </c>
      <c r="G16" s="283" t="s">
        <v>196</v>
      </c>
      <c r="H16" s="260">
        <f>B6</f>
        <v>59.51</v>
      </c>
      <c r="K16" t="s">
        <v>190</v>
      </c>
      <c r="L16" s="283" t="s">
        <v>196</v>
      </c>
      <c r="M16" s="260">
        <f>B6</f>
        <v>59.51</v>
      </c>
    </row>
    <row r="17" spans="1:14">
      <c r="A17" s="178" t="s">
        <v>186</v>
      </c>
      <c r="B17" s="313">
        <f>SUM('IceBank Account'!$C$8:$C$31)*Efficiency</f>
        <v>2213.75</v>
      </c>
      <c r="C17" s="309"/>
      <c r="D17" s="310"/>
      <c r="F17" t="s">
        <v>191</v>
      </c>
      <c r="G17" s="281">
        <f>B16*Shoulder</f>
        <v>137.5</v>
      </c>
      <c r="H17" s="260">
        <f>G17*$B$7</f>
        <v>1590.875</v>
      </c>
      <c r="K17" t="s">
        <v>191</v>
      </c>
      <c r="L17" s="281">
        <f>B33</f>
        <v>85.063073394495405</v>
      </c>
      <c r="M17" s="260">
        <f>L17*$B$7</f>
        <v>984.17975917431181</v>
      </c>
    </row>
    <row r="18" spans="1:14">
      <c r="A18" s="178" t="s">
        <v>187</v>
      </c>
      <c r="B18" s="313">
        <f>B17*Weekend</f>
        <v>0</v>
      </c>
      <c r="C18" s="309"/>
      <c r="D18" s="310"/>
      <c r="F18" t="s">
        <v>198</v>
      </c>
      <c r="G18" s="282">
        <f>B19*Shoulder</f>
        <v>11192.5</v>
      </c>
      <c r="H18" s="260">
        <f>G18*$B$8</f>
        <v>735.12340000000006</v>
      </c>
      <c r="K18" t="s">
        <v>198</v>
      </c>
      <c r="L18" s="282">
        <f>B37</f>
        <v>5956.5252293577978</v>
      </c>
      <c r="M18" s="260">
        <f>L18*$B$8</f>
        <v>391.22457706422017</v>
      </c>
    </row>
    <row r="19" spans="1:14">
      <c r="A19" s="178" t="s">
        <v>311</v>
      </c>
      <c r="B19" s="313">
        <f>22*SUM('IceBank Account'!$C$20:$C$28)*Efficiency</f>
        <v>22385</v>
      </c>
      <c r="C19" s="317" t="s">
        <v>312</v>
      </c>
      <c r="D19" s="310"/>
      <c r="F19" t="s">
        <v>199</v>
      </c>
      <c r="G19" s="282">
        <f>B20*Shoulder</f>
        <v>13158.75</v>
      </c>
      <c r="H19" s="260">
        <f>G19*$B$9</f>
        <v>488.84756250000004</v>
      </c>
      <c r="K19" t="s">
        <v>199</v>
      </c>
      <c r="L19" s="282">
        <f>B38</f>
        <v>19818.922018348618</v>
      </c>
      <c r="M19" s="260">
        <f>L19*$B$9</f>
        <v>736.2729529816512</v>
      </c>
    </row>
    <row r="20" spans="1:14">
      <c r="A20" s="178" t="s">
        <v>313</v>
      </c>
      <c r="B20" s="313">
        <f>B21-B19</f>
        <v>26317.5</v>
      </c>
      <c r="C20" s="309"/>
      <c r="D20" s="310"/>
      <c r="F20" s="222" t="s">
        <v>165</v>
      </c>
      <c r="G20" s="222"/>
      <c r="H20" s="222">
        <f>SUM(H16:H19)</f>
        <v>2874.3559625000003</v>
      </c>
      <c r="I20" t="str">
        <f>"x "&amp;Months-7&amp;" months"</f>
        <v>x 2 months</v>
      </c>
      <c r="J20" s="260"/>
      <c r="K20" s="222" t="s">
        <v>165</v>
      </c>
      <c r="L20" s="222"/>
      <c r="M20" s="222">
        <f>SUM(M16:M19)</f>
        <v>2171.1872892201832</v>
      </c>
      <c r="N20" t="str">
        <f>"x "&amp;Months-7&amp;" months"</f>
        <v>x 2 months</v>
      </c>
    </row>
    <row r="21" spans="1:14">
      <c r="A21" s="178" t="s">
        <v>175</v>
      </c>
      <c r="B21" s="313">
        <f>(22*B17)+(8*B18)</f>
        <v>48702.5</v>
      </c>
      <c r="C21" s="317" t="s">
        <v>295</v>
      </c>
      <c r="D21" s="310"/>
      <c r="F21" s="176"/>
      <c r="G21" s="284"/>
      <c r="H21" s="245"/>
      <c r="J21" s="260"/>
      <c r="K21" s="176"/>
      <c r="L21" s="284"/>
      <c r="M21" s="245"/>
    </row>
    <row r="22" spans="1:14">
      <c r="A22" s="314" t="s">
        <v>314</v>
      </c>
      <c r="B22" s="315"/>
      <c r="C22" s="315"/>
      <c r="D22" s="316"/>
      <c r="G22" s="283"/>
      <c r="H22" s="260"/>
      <c r="J22" s="260"/>
      <c r="L22" s="283"/>
      <c r="M22" s="260"/>
    </row>
    <row r="23" spans="1:14">
      <c r="A23" s="178" t="s">
        <v>167</v>
      </c>
      <c r="B23" s="311">
        <f>AVERAGE('Cover Page'!$I$117:$I$140)</f>
        <v>97.63426987767582</v>
      </c>
      <c r="C23" s="309"/>
      <c r="D23" s="310"/>
      <c r="F23" s="260" t="s">
        <v>169</v>
      </c>
      <c r="G23" s="260"/>
      <c r="H23" s="260">
        <f>(H14*7)+(H20*(Months-7))</f>
        <v>45573.125400000004</v>
      </c>
      <c r="J23" s="260"/>
      <c r="K23" s="260" t="s">
        <v>169</v>
      </c>
      <c r="L23" s="260"/>
      <c r="M23" s="260">
        <f>(M14*7)+(M20*(Months-7))</f>
        <v>35322.529418577979</v>
      </c>
    </row>
    <row r="24" spans="1:14">
      <c r="A24" s="178" t="s">
        <v>264</v>
      </c>
      <c r="B24" s="311">
        <f>MAX('Cover Page'!$I$129:$I$137)</f>
        <v>170.12614678899081</v>
      </c>
      <c r="C24" s="317" t="s">
        <v>312</v>
      </c>
      <c r="D24" s="310"/>
      <c r="F24" s="222" t="s">
        <v>214</v>
      </c>
      <c r="G24" s="222"/>
      <c r="H24" s="222">
        <f>H23*(1+Tax)</f>
        <v>49218.975432000007</v>
      </c>
      <c r="K24" s="222" t="s">
        <v>214</v>
      </c>
      <c r="L24" s="222"/>
      <c r="M24" s="222">
        <f>M23*(1+Tax)</f>
        <v>38148.331772064223</v>
      </c>
    </row>
    <row r="25" spans="1:14">
      <c r="A25" s="178" t="s">
        <v>200</v>
      </c>
      <c r="B25" s="313">
        <f>SUM('Cover Page'!$I$129:$I$137)</f>
        <v>769.12844036697243</v>
      </c>
      <c r="C25" s="317" t="s">
        <v>312</v>
      </c>
      <c r="D25" s="310"/>
      <c r="G25" s="282"/>
      <c r="H25" s="260"/>
      <c r="L25" s="282"/>
      <c r="M25" s="260"/>
    </row>
    <row r="26" spans="1:14" ht="15" thickBot="1">
      <c r="A26" s="178" t="s">
        <v>201</v>
      </c>
      <c r="B26" s="313">
        <f>'Cover Page'!$I$142-B25</f>
        <v>1574.0940366972472</v>
      </c>
      <c r="C26" s="309"/>
      <c r="D26" s="310"/>
      <c r="F26" s="222"/>
      <c r="G26" s="222"/>
      <c r="H26" s="222"/>
      <c r="K26" s="222"/>
      <c r="L26" s="222"/>
      <c r="M26" s="222"/>
    </row>
    <row r="27" spans="1:14" ht="15.5">
      <c r="A27" s="178" t="s">
        <v>187</v>
      </c>
      <c r="B27" s="313">
        <f>(B25+B26)*Weekend</f>
        <v>0</v>
      </c>
      <c r="C27" s="309"/>
      <c r="D27" s="310"/>
      <c r="F27" s="261" t="s">
        <v>170</v>
      </c>
      <c r="G27" s="262"/>
    </row>
    <row r="28" spans="1:14" ht="15.5">
      <c r="A28" s="178" t="s">
        <v>311</v>
      </c>
      <c r="B28" s="313">
        <f>B25*22</f>
        <v>16920.825688073393</v>
      </c>
      <c r="C28" s="317" t="s">
        <v>312</v>
      </c>
      <c r="D28" s="310"/>
      <c r="F28" s="263" t="s">
        <v>166</v>
      </c>
      <c r="G28" s="264">
        <f>H24</f>
        <v>49218.975432000007</v>
      </c>
      <c r="K28" s="260"/>
      <c r="L28" s="260"/>
      <c r="M28" s="260"/>
    </row>
    <row r="29" spans="1:14" ht="16" thickBot="1">
      <c r="A29" s="178" t="s">
        <v>313</v>
      </c>
      <c r="B29" s="313">
        <f>(22*B26)+(8*B27)</f>
        <v>34630.068807339441</v>
      </c>
      <c r="C29" s="309"/>
      <c r="D29" s="310"/>
      <c r="F29" s="265" t="s">
        <v>171</v>
      </c>
      <c r="G29" s="266">
        <f>M23</f>
        <v>35322.529418577979</v>
      </c>
    </row>
    <row r="30" spans="1:14" ht="16" thickTop="1">
      <c r="A30" s="178" t="s">
        <v>175</v>
      </c>
      <c r="B30" s="313">
        <f>B28+B29</f>
        <v>51550.894495412838</v>
      </c>
      <c r="C30" s="309"/>
      <c r="D30" s="310"/>
      <c r="F30" s="267" t="s">
        <v>172</v>
      </c>
      <c r="G30" s="268">
        <f>G28-G29</f>
        <v>13896.446013422028</v>
      </c>
    </row>
    <row r="31" spans="1:14" ht="16" thickBot="1">
      <c r="A31" s="314" t="s">
        <v>296</v>
      </c>
      <c r="B31" s="315"/>
      <c r="C31" s="315"/>
      <c r="D31" s="316"/>
      <c r="F31" s="269" t="s">
        <v>173</v>
      </c>
      <c r="G31" s="270">
        <f>G30/G28</f>
        <v>0.28233919725982698</v>
      </c>
    </row>
    <row r="32" spans="1:14">
      <c r="A32" s="178" t="s">
        <v>309</v>
      </c>
      <c r="B32" s="361">
        <f>B23*Shoulder</f>
        <v>48.81713493883791</v>
      </c>
      <c r="C32" s="309"/>
      <c r="D32" s="310"/>
    </row>
    <row r="33" spans="1:5">
      <c r="A33" s="341" t="s">
        <v>264</v>
      </c>
      <c r="B33" s="362">
        <f>MAX('Cover Page'!$I$123:$I$126,'Cover Page'!$I$135:$I$138)*Shoulder</f>
        <v>85.063073394495405</v>
      </c>
      <c r="C33" s="346" t="s">
        <v>315</v>
      </c>
      <c r="D33" s="343"/>
      <c r="E33" t="s">
        <v>316</v>
      </c>
    </row>
    <row r="34" spans="1:5">
      <c r="A34" s="341" t="s">
        <v>200</v>
      </c>
      <c r="B34" s="313">
        <f>SUM('Cover Page'!$I$123:$I$126,'Cover Page'!$I$135:$I$138)*Shoulder</f>
        <v>270.75114678899081</v>
      </c>
      <c r="C34" s="346" t="s">
        <v>315</v>
      </c>
      <c r="D34" s="343"/>
    </row>
    <row r="35" spans="1:5">
      <c r="A35" s="178" t="s">
        <v>201</v>
      </c>
      <c r="B35" s="313">
        <f>('Cover Page'!$I$142*Shoulder)-GSDT!B34</f>
        <v>900.86009174311903</v>
      </c>
      <c r="C35" s="309"/>
      <c r="D35" s="310"/>
    </row>
    <row r="36" spans="1:5">
      <c r="A36" s="178" t="s">
        <v>187</v>
      </c>
      <c r="B36" s="313">
        <f>(B34+B35)*Weekend</f>
        <v>0</v>
      </c>
      <c r="C36" s="309"/>
      <c r="D36" s="310"/>
    </row>
    <row r="37" spans="1:5">
      <c r="A37" s="341" t="s">
        <v>311</v>
      </c>
      <c r="B37" s="347">
        <f>B34*22</f>
        <v>5956.5252293577978</v>
      </c>
      <c r="C37" s="346" t="s">
        <v>315</v>
      </c>
      <c r="D37" s="343"/>
    </row>
    <row r="38" spans="1:5">
      <c r="A38" s="178" t="s">
        <v>313</v>
      </c>
      <c r="B38" s="313">
        <f>(22*B35)+(8*B36)</f>
        <v>19818.922018348618</v>
      </c>
      <c r="C38" s="309"/>
      <c r="D38" s="310"/>
    </row>
    <row r="39" spans="1:5" ht="15" thickBot="1">
      <c r="A39" s="321" t="s">
        <v>175</v>
      </c>
      <c r="B39" s="322">
        <f>B37+B38</f>
        <v>25775.447247706416</v>
      </c>
      <c r="C39" s="348" t="s">
        <v>295</v>
      </c>
      <c r="D39" s="324"/>
    </row>
    <row r="40" spans="1:5">
      <c r="A40" s="349"/>
      <c r="B40" s="235"/>
      <c r="C40" s="235"/>
      <c r="D40" s="235"/>
    </row>
    <row r="41" spans="1:5">
      <c r="A41" s="235"/>
      <c r="B41" s="281"/>
      <c r="C41" s="235"/>
      <c r="D41" s="235"/>
    </row>
    <row r="42" spans="1:5">
      <c r="A42" s="235"/>
      <c r="B42" s="281"/>
      <c r="C42" s="350"/>
      <c r="D42" s="235"/>
    </row>
    <row r="43" spans="1:5">
      <c r="A43" s="235"/>
      <c r="B43" s="282"/>
      <c r="C43" s="350"/>
      <c r="D43" s="235"/>
    </row>
    <row r="44" spans="1:5">
      <c r="A44" s="235"/>
      <c r="B44" s="282"/>
      <c r="C44" s="235"/>
      <c r="D44" s="235"/>
    </row>
    <row r="45" spans="1:5">
      <c r="A45" s="235"/>
      <c r="B45" s="282"/>
      <c r="C45" s="235"/>
      <c r="D45" s="235"/>
    </row>
    <row r="46" spans="1:5">
      <c r="A46" s="235"/>
      <c r="B46" s="282"/>
      <c r="C46" s="350"/>
      <c r="D46" s="235"/>
    </row>
    <row r="47" spans="1:5">
      <c r="A47" s="235"/>
      <c r="B47" s="282"/>
      <c r="C47" s="235"/>
      <c r="D47" s="235"/>
    </row>
    <row r="48" spans="1:5">
      <c r="A48" s="235"/>
      <c r="B48" s="282"/>
      <c r="C48" s="235"/>
      <c r="D48" s="235"/>
    </row>
    <row r="71" spans="1:10">
      <c r="A71" s="176" t="s">
        <v>189</v>
      </c>
      <c r="G71" s="175" t="s">
        <v>203</v>
      </c>
    </row>
    <row r="72" spans="1:10">
      <c r="A72" s="191" t="s">
        <v>188</v>
      </c>
      <c r="B72" s="276">
        <f>IF('[1]IceBank Account'!F4&lt;&gt;"",'[1]IceBank Account'!F4,0)</f>
        <v>676.32850241545884</v>
      </c>
      <c r="C72" s="276">
        <f>IF('[1]IceBank Account'!K4&lt;&gt;"",'[1]IceBank Account'!K4,0)</f>
        <v>0</v>
      </c>
      <c r="D72" s="276">
        <f>IF('[1]IceBank Account'!P4&lt;&gt;"",'[1]IceBank Account'!P4,0)</f>
        <v>100</v>
      </c>
      <c r="E72" s="276">
        <f>IF('[1]IceBank Account'!U4&lt;&gt;"",'[1]IceBank Account'!U4,0)</f>
        <v>0</v>
      </c>
      <c r="G72" t="s">
        <v>207</v>
      </c>
    </row>
    <row r="73" spans="1:10">
      <c r="A73" s="249" t="s">
        <v>10</v>
      </c>
      <c r="B73" s="277" t="s">
        <v>181</v>
      </c>
      <c r="C73" s="277" t="s">
        <v>182</v>
      </c>
      <c r="D73" s="277" t="s">
        <v>183</v>
      </c>
      <c r="E73" s="277" t="s">
        <v>184</v>
      </c>
      <c r="F73" s="294" t="s">
        <v>64</v>
      </c>
      <c r="G73" t="s">
        <v>10</v>
      </c>
      <c r="H73" t="s">
        <v>208</v>
      </c>
      <c r="I73" t="s">
        <v>204</v>
      </c>
      <c r="J73" t="s">
        <v>205</v>
      </c>
    </row>
    <row r="74" spans="1:10">
      <c r="A74">
        <f>1</f>
        <v>1</v>
      </c>
      <c r="B74" s="274">
        <f>IF('[1]IceBank Account'!B8="I",'[1]IceBank Account'!E8*$B$72*[2]Summary!$B$20,'[1]IceBank Account'!J8*[2]Summary!$B$19)</f>
        <v>351.69082125603859</v>
      </c>
      <c r="C74" s="274">
        <f>IF($C$72=0,0,IF('[1]IceBank Account'!B8="I",'[1]IceBank Account'!E8*$B$72*[2]Summary!$B$20,'[1]IceBank Account'!K8*[2]Summary!$B$19))</f>
        <v>0</v>
      </c>
      <c r="D74" s="274" t="e">
        <f>GSLDT1</f>
        <v>#NAME?</v>
      </c>
      <c r="E74" s="274">
        <f>'[1]IceBank Account'!$U$4*'[1]IceBank Account'!H8*Efficiency</f>
        <v>0</v>
      </c>
      <c r="F74" s="295" t="e">
        <f>SUM(B74:E74)</f>
        <v>#NAME?</v>
      </c>
      <c r="G74">
        <v>1</v>
      </c>
      <c r="H74" s="46">
        <f>IF('[1]IceBank Account'!B8="I",'[1]IceBank Account'!E8*$B$72*[2]Summary!$B$20,SUM(B74:E74)*[2]Summary!$B$15*[2]Summary!$B$19)</f>
        <v>351.69082125603859</v>
      </c>
      <c r="I74" s="46">
        <v>0</v>
      </c>
      <c r="J74" s="46">
        <f>IF((H74-I74)&gt;0,H74-I74,0)</f>
        <v>351.69082125603859</v>
      </c>
    </row>
    <row r="75" spans="1:10">
      <c r="A75">
        <f>A74+1</f>
        <v>2</v>
      </c>
      <c r="B75" s="274">
        <f>IF('[1]IceBank Account'!B9="I",'[1]IceBank Account'!E9*$B$72*[2]Summary!$B$20,'[1]IceBank Account'!J9*[2]Summary!$B$19)</f>
        <v>351.69082125603859</v>
      </c>
      <c r="C75" s="274">
        <f>IF($C$72=0,0,IF('[1]IceBank Account'!B9="I",'[1]IceBank Account'!E9*$B$72,'[1]IceBank Account'!K9))</f>
        <v>0</v>
      </c>
      <c r="D75" s="274">
        <f>'[1]IceBank Account'!$P$4*'[1]IceBank Account'!G9*Efficiency</f>
        <v>110.00000000000001</v>
      </c>
      <c r="E75" s="274">
        <f>'[1]IceBank Account'!$U$4*'[1]IceBank Account'!H9*Efficiency</f>
        <v>0</v>
      </c>
      <c r="F75" s="295">
        <f t="shared" ref="F75:F97" si="0">SUM(B75:E75)</f>
        <v>461.69082125603859</v>
      </c>
      <c r="G75">
        <v>2</v>
      </c>
      <c r="H75" s="46">
        <f>IF('[1]IceBank Account'!B9="I",'[1]IceBank Account'!E9*$B$72*[2]Summary!$B$20,SUM(B75:E75)*[2]Summary!$B$15*[2]Summary!$B$19)</f>
        <v>351.69082125603859</v>
      </c>
      <c r="I75" s="46">
        <v>0</v>
      </c>
      <c r="J75" s="46">
        <f t="shared" ref="J75:J97" si="1">IF((H75-I75)&gt;0,H75-I75,0)</f>
        <v>351.69082125603859</v>
      </c>
    </row>
    <row r="76" spans="1:10">
      <c r="A76">
        <f t="shared" ref="A76:A97" si="2">A75+1</f>
        <v>3</v>
      </c>
      <c r="B76" s="274">
        <f>IF('[1]IceBank Account'!B10="I",'[1]IceBank Account'!E10*$B$72*[2]Summary!$B$20,'[1]IceBank Account'!J10*[2]Summary!$B$19)</f>
        <v>351.69082125603859</v>
      </c>
      <c r="C76" s="274">
        <f>IF($C$72=0,0,IF('[1]IceBank Account'!B10="I",'[1]IceBank Account'!E10*$B$72,'[1]IceBank Account'!K10))</f>
        <v>0</v>
      </c>
      <c r="D76" s="274">
        <f>'[1]IceBank Account'!$P$4*'[1]IceBank Account'!G10*Efficiency</f>
        <v>110.00000000000001</v>
      </c>
      <c r="E76" s="274">
        <f>'[1]IceBank Account'!$U$4*'[1]IceBank Account'!H10*Efficiency</f>
        <v>0</v>
      </c>
      <c r="F76" s="295">
        <f t="shared" si="0"/>
        <v>461.69082125603859</v>
      </c>
      <c r="G76">
        <v>3</v>
      </c>
      <c r="H76" s="46">
        <f>IF('[1]IceBank Account'!B10="I",'[1]IceBank Account'!E10*$B$72*[2]Summary!$B$20,SUM(B76:E76)*[2]Summary!$B$15*[2]Summary!$B$19)</f>
        <v>351.69082125603859</v>
      </c>
      <c r="I76" s="46">
        <v>0</v>
      </c>
      <c r="J76" s="46">
        <f t="shared" si="1"/>
        <v>351.69082125603859</v>
      </c>
    </row>
    <row r="77" spans="1:10">
      <c r="A77">
        <f t="shared" si="2"/>
        <v>4</v>
      </c>
      <c r="B77" s="274">
        <f>IF('[1]IceBank Account'!B11="I",'[1]IceBank Account'!E11*$B$72*[2]Summary!$B$20,'[1]IceBank Account'!J11*[2]Summary!$B$19)</f>
        <v>351.69082125603859</v>
      </c>
      <c r="C77" s="274">
        <f>IF($C$72=0,0,IF('[1]IceBank Account'!B11="I",'[1]IceBank Account'!E11*$B$72,'[1]IceBank Account'!K11))</f>
        <v>0</v>
      </c>
      <c r="D77" s="274">
        <f>'[1]IceBank Account'!$P$4*'[1]IceBank Account'!G11*Efficiency</f>
        <v>110.00000000000001</v>
      </c>
      <c r="E77" s="274">
        <f>'[1]IceBank Account'!$U$4*'[1]IceBank Account'!H11*Efficiency</f>
        <v>0</v>
      </c>
      <c r="F77" s="295">
        <f t="shared" si="0"/>
        <v>461.69082125603859</v>
      </c>
      <c r="G77">
        <v>4</v>
      </c>
      <c r="H77" s="46">
        <f>IF('[1]IceBank Account'!B11="I",'[1]IceBank Account'!E11*$B$72*[2]Summary!$B$20,SUM(B77:E77)*[2]Summary!$B$15*[2]Summary!$B$19)</f>
        <v>351.69082125603859</v>
      </c>
      <c r="I77" s="46">
        <v>0</v>
      </c>
      <c r="J77" s="46">
        <f t="shared" si="1"/>
        <v>351.69082125603859</v>
      </c>
    </row>
    <row r="78" spans="1:10">
      <c r="A78">
        <f t="shared" si="2"/>
        <v>5</v>
      </c>
      <c r="B78" s="274">
        <f>IF('[1]IceBank Account'!B12="I",'[1]IceBank Account'!E12*$B$72*[2]Summary!$B$20,'[1]IceBank Account'!J12*[2]Summary!$B$19)</f>
        <v>351.69082125603859</v>
      </c>
      <c r="C78" s="274">
        <f>IF($C$72=0,0,IF('[1]IceBank Account'!B12="I",'[1]IceBank Account'!E12*$B$72,'[1]IceBank Account'!K12))</f>
        <v>0</v>
      </c>
      <c r="D78" s="274">
        <f>'[1]IceBank Account'!$P$4*'[1]IceBank Account'!G12*Efficiency</f>
        <v>110.00000000000001</v>
      </c>
      <c r="E78" s="274">
        <f>'[1]IceBank Account'!$U$4*'[1]IceBank Account'!H12*Efficiency</f>
        <v>0</v>
      </c>
      <c r="F78" s="295">
        <f t="shared" si="0"/>
        <v>461.69082125603859</v>
      </c>
      <c r="G78">
        <v>5</v>
      </c>
      <c r="H78" s="46">
        <f>IF('[1]IceBank Account'!B12="I",'[1]IceBank Account'!E12*$B$72*[2]Summary!$B$20,SUM(B78:E78)*[2]Summary!$B$15*[2]Summary!$B$19)</f>
        <v>351.69082125603859</v>
      </c>
      <c r="I78" s="46">
        <v>0</v>
      </c>
      <c r="J78" s="46">
        <f t="shared" si="1"/>
        <v>351.69082125603859</v>
      </c>
    </row>
    <row r="79" spans="1:10">
      <c r="A79">
        <f t="shared" si="2"/>
        <v>6</v>
      </c>
      <c r="B79" s="274">
        <f>IF('[1]IceBank Account'!B13="I",'[1]IceBank Account'!E13*$B$72*[2]Summary!$B$20,'[1]IceBank Account'!J13*[2]Summary!$B$19)</f>
        <v>351.69082125603859</v>
      </c>
      <c r="C79" s="274">
        <f>IF($C$72=0,0,IF('[1]IceBank Account'!B13="I",'[1]IceBank Account'!E13*$B$72,'[1]IceBank Account'!K13))</f>
        <v>0</v>
      </c>
      <c r="D79" s="274">
        <f>'[1]IceBank Account'!$P$4*'[1]IceBank Account'!G13*Efficiency</f>
        <v>110.00000000000001</v>
      </c>
      <c r="E79" s="274">
        <f>'[1]IceBank Account'!$U$4*'[1]IceBank Account'!H13*Efficiency</f>
        <v>0</v>
      </c>
      <c r="F79" s="295">
        <f t="shared" si="0"/>
        <v>461.69082125603859</v>
      </c>
      <c r="G79">
        <v>6</v>
      </c>
      <c r="H79" s="46">
        <f>IF('[1]IceBank Account'!B13="I",'[1]IceBank Account'!E13*$B$72*[2]Summary!$B$20,SUM(B79:E79)*[2]Summary!$B$15*[2]Summary!$B$19)</f>
        <v>351.69082125603859</v>
      </c>
      <c r="I79" s="46">
        <v>0</v>
      </c>
      <c r="J79" s="46">
        <f t="shared" si="1"/>
        <v>351.69082125603859</v>
      </c>
    </row>
    <row r="80" spans="1:10">
      <c r="A80">
        <f t="shared" si="2"/>
        <v>7</v>
      </c>
      <c r="B80" s="274">
        <f>IF('[1]IceBank Account'!B14="I",'[1]IceBank Account'!E14*$B$72*[2]Summary!$B$20,'[1]IceBank Account'!J14*[2]Summary!$B$19)</f>
        <v>80</v>
      </c>
      <c r="C80" s="274">
        <f>IF($C$72=0,0,IF('[1]IceBank Account'!B14="I",'[1]IceBank Account'!E14*$B$72,'[1]IceBank Account'!K14))</f>
        <v>0</v>
      </c>
      <c r="D80" s="274">
        <f>'[1]IceBank Account'!$P$4*'[1]IceBank Account'!G14*Efficiency</f>
        <v>110.00000000000001</v>
      </c>
      <c r="E80" s="274">
        <f>'[1]IceBank Account'!$U$4*'[1]IceBank Account'!H14*Efficiency</f>
        <v>0</v>
      </c>
      <c r="F80" s="295">
        <f t="shared" si="0"/>
        <v>190</v>
      </c>
      <c r="G80" s="286">
        <v>7</v>
      </c>
      <c r="H80" s="287">
        <f>IF('[1]IceBank Account'!B14="I",'[1]IceBank Account'!E14*$B$72*[2]Summary!$B$20,SUM(B80:E80)*[2]Summary!$B$15*[2]Summary!$B$19)</f>
        <v>30.400000000000002</v>
      </c>
      <c r="I80" s="287">
        <f>H80</f>
        <v>30.400000000000002</v>
      </c>
      <c r="J80" s="287">
        <f t="shared" si="1"/>
        <v>0</v>
      </c>
    </row>
    <row r="81" spans="1:10">
      <c r="A81">
        <f t="shared" si="2"/>
        <v>8</v>
      </c>
      <c r="B81" s="274">
        <f>IF('[1]IceBank Account'!B15="I",'[1]IceBank Account'!E15*$B$72*[2]Summary!$B$20,'[1]IceBank Account'!J15*[2]Summary!$B$19)</f>
        <v>160</v>
      </c>
      <c r="C81" s="274">
        <f>IF($C$72=0,0,IF('[1]IceBank Account'!B15="I",'[1]IceBank Account'!E15*$B$72,'[1]IceBank Account'!K15))</f>
        <v>0</v>
      </c>
      <c r="D81" s="274">
        <f>'[1]IceBank Account'!$P$4*'[1]IceBank Account'!G15*Efficiency</f>
        <v>110.00000000000001</v>
      </c>
      <c r="E81" s="274">
        <f>'[1]IceBank Account'!$U$4*'[1]IceBank Account'!H15*Efficiency</f>
        <v>0</v>
      </c>
      <c r="F81" s="295">
        <f t="shared" si="0"/>
        <v>270</v>
      </c>
      <c r="G81" s="286">
        <v>8</v>
      </c>
      <c r="H81" s="287">
        <f>IF('[1]IceBank Account'!B15="I",'[1]IceBank Account'!E15*$B$72*[2]Summary!$B$20,SUM(B81:E81)*[2]Summary!$B$15*[2]Summary!$B$19)</f>
        <v>43.2</v>
      </c>
      <c r="I81" s="287">
        <f t="shared" ref="I81:I83" si="3">H81</f>
        <v>43.2</v>
      </c>
      <c r="J81" s="287">
        <f t="shared" si="1"/>
        <v>0</v>
      </c>
    </row>
    <row r="82" spans="1:10">
      <c r="A82">
        <f t="shared" si="2"/>
        <v>9</v>
      </c>
      <c r="B82" s="274">
        <f>IF('[1]IceBank Account'!B16="I",'[1]IceBank Account'!E16*$B$72*[2]Summary!$B$20,'[1]IceBank Account'!J16*[2]Summary!$B$19)</f>
        <v>240</v>
      </c>
      <c r="C82" s="274">
        <f>IF($C$72=0,0,IF('[1]IceBank Account'!B16="I",'[1]IceBank Account'!E16*$B$72,'[1]IceBank Account'!K16))</f>
        <v>0</v>
      </c>
      <c r="D82" s="274">
        <f>'[1]IceBank Account'!$P$4*'[1]IceBank Account'!G16*Efficiency</f>
        <v>110.00000000000001</v>
      </c>
      <c r="E82" s="274">
        <f>'[1]IceBank Account'!$U$4*'[1]IceBank Account'!H16*Efficiency</f>
        <v>0</v>
      </c>
      <c r="F82" s="295">
        <f t="shared" si="0"/>
        <v>350</v>
      </c>
      <c r="G82" s="286">
        <v>9</v>
      </c>
      <c r="H82" s="287">
        <f>IF('[1]IceBank Account'!B16="I",'[1]IceBank Account'!E16*$B$72*[2]Summary!$B$20,SUM(B82:E82)*[2]Summary!$B$15*[2]Summary!$B$19)</f>
        <v>56</v>
      </c>
      <c r="I82" s="287">
        <f t="shared" si="3"/>
        <v>56</v>
      </c>
      <c r="J82" s="287">
        <f t="shared" si="1"/>
        <v>0</v>
      </c>
    </row>
    <row r="83" spans="1:10">
      <c r="A83">
        <f t="shared" si="2"/>
        <v>10</v>
      </c>
      <c r="B83" s="274">
        <f>IF('[1]IceBank Account'!B17="I",'[1]IceBank Account'!E17*$B$72*[2]Summary!$B$20,'[1]IceBank Account'!J17*[2]Summary!$B$19)</f>
        <v>320</v>
      </c>
      <c r="C83" s="274">
        <f>IF($C$72=0,0,IF('[1]IceBank Account'!B17="I",'[1]IceBank Account'!E17*$B$72,'[1]IceBank Account'!K17))</f>
        <v>0</v>
      </c>
      <c r="D83" s="274">
        <f>'[1]IceBank Account'!$P$4*'[1]IceBank Account'!G17*Efficiency</f>
        <v>110.00000000000001</v>
      </c>
      <c r="E83" s="274">
        <f>'[1]IceBank Account'!$U$4*'[1]IceBank Account'!H17*Efficiency</f>
        <v>0</v>
      </c>
      <c r="F83" s="295">
        <f t="shared" si="0"/>
        <v>430</v>
      </c>
      <c r="G83" s="286">
        <v>10</v>
      </c>
      <c r="H83" s="287">
        <f>IF('[1]IceBank Account'!B17="I",'[1]IceBank Account'!E17*$B$72*[2]Summary!$B$20,SUM(B83:E83)*[2]Summary!$B$15*[2]Summary!$B$19)</f>
        <v>68.8</v>
      </c>
      <c r="I83" s="287">
        <f t="shared" si="3"/>
        <v>68.8</v>
      </c>
      <c r="J83" s="287">
        <f t="shared" si="1"/>
        <v>0</v>
      </c>
    </row>
    <row r="84" spans="1:10">
      <c r="A84">
        <f t="shared" si="2"/>
        <v>11</v>
      </c>
      <c r="B84" s="274">
        <f>IF('[1]IceBank Account'!B18="I",'[1]IceBank Account'!E18*$B$72*[2]Summary!$B$20,'[1]IceBank Account'!J18*[2]Summary!$B$19)</f>
        <v>486.95652173913044</v>
      </c>
      <c r="C84" s="274">
        <f>IF($C$72=0,0,IF('[1]IceBank Account'!B18="I",'[1]IceBank Account'!E18*$B$72,'[1]IceBank Account'!K18))</f>
        <v>0</v>
      </c>
      <c r="D84" s="274">
        <f>'[1]IceBank Account'!$P$4*'[1]IceBank Account'!G18*Efficiency</f>
        <v>110.00000000000001</v>
      </c>
      <c r="E84" s="274">
        <f>'[1]IceBank Account'!$U$4*'[1]IceBank Account'!H18*Efficiency</f>
        <v>0</v>
      </c>
      <c r="F84" s="295">
        <f t="shared" si="0"/>
        <v>596.95652173913049</v>
      </c>
      <c r="G84">
        <v>11</v>
      </c>
      <c r="H84" s="46">
        <f>IF('[1]IceBank Account'!B18="I",'[1]IceBank Account'!E18*$B$72*[2]Summary!$B$20,SUM(B84:E84)*[2]Summary!$B$15*[2]Summary!$B$19)</f>
        <v>95.513043478260897</v>
      </c>
      <c r="I84" s="288">
        <f t="shared" ref="I84:I91" si="4">($I$100-SUM($I$80:$I$83,$I$92:$I$95))/8</f>
        <v>296.29082125603861</v>
      </c>
      <c r="J84" s="46">
        <f t="shared" si="1"/>
        <v>0</v>
      </c>
    </row>
    <row r="85" spans="1:10">
      <c r="A85">
        <f t="shared" si="2"/>
        <v>12</v>
      </c>
      <c r="B85" s="274">
        <f>IF('[1]IceBank Account'!B19="I",'[1]IceBank Account'!E19*$B$72*[2]Summary!$B$20,'[1]IceBank Account'!J19*[2]Summary!$B$19)</f>
        <v>486.95652173913044</v>
      </c>
      <c r="C85" s="274">
        <f>IF($C$72=0,0,IF('[1]IceBank Account'!B19="I",'[1]IceBank Account'!E19*$B$72,'[1]IceBank Account'!K19))</f>
        <v>0</v>
      </c>
      <c r="D85" s="274">
        <f>'[1]IceBank Account'!$P$4*'[1]IceBank Account'!G19*Efficiency</f>
        <v>110.00000000000001</v>
      </c>
      <c r="E85" s="274">
        <f>'[1]IceBank Account'!$U$4*'[1]IceBank Account'!H19*Efficiency</f>
        <v>0</v>
      </c>
      <c r="F85" s="295">
        <f t="shared" si="0"/>
        <v>596.95652173913049</v>
      </c>
      <c r="G85">
        <v>12</v>
      </c>
      <c r="H85" s="46">
        <f>IF('[1]IceBank Account'!B19="I",'[1]IceBank Account'!E19*$B$72*[2]Summary!$B$20,SUM(B85:E85)*[2]Summary!$B$15*[2]Summary!$B$19)</f>
        <v>95.513043478260897</v>
      </c>
      <c r="I85" s="288">
        <f t="shared" si="4"/>
        <v>296.29082125603861</v>
      </c>
      <c r="J85" s="46">
        <f t="shared" si="1"/>
        <v>0</v>
      </c>
    </row>
    <row r="86" spans="1:10">
      <c r="A86">
        <f t="shared" si="2"/>
        <v>13</v>
      </c>
      <c r="B86" s="274">
        <f>IF('[1]IceBank Account'!B20="I",'[1]IceBank Account'!E20*$B$72*[2]Summary!$B$20,'[1]IceBank Account'!J20*[2]Summary!$B$19)</f>
        <v>486.95652173913044</v>
      </c>
      <c r="C86" s="274">
        <f>IF($C$72=0,0,IF('[1]IceBank Account'!B20="I",'[1]IceBank Account'!E20*$B$72,'[1]IceBank Account'!K20))</f>
        <v>0</v>
      </c>
      <c r="D86" s="274">
        <f>'[1]IceBank Account'!$P$4*'[1]IceBank Account'!G20*Efficiency</f>
        <v>110.00000000000001</v>
      </c>
      <c r="E86" s="274">
        <f>'[1]IceBank Account'!$U$4*'[1]IceBank Account'!H20*Efficiency</f>
        <v>0</v>
      </c>
      <c r="F86" s="295">
        <f t="shared" si="0"/>
        <v>596.95652173913049</v>
      </c>
      <c r="G86">
        <v>13</v>
      </c>
      <c r="H86" s="46">
        <f>IF('[1]IceBank Account'!B20="I",'[1]IceBank Account'!E20*$B$72*[2]Summary!$B$20,SUM(B86:E86)*[2]Summary!$B$15*[2]Summary!$B$19)</f>
        <v>95.513043478260897</v>
      </c>
      <c r="I86" s="288">
        <f t="shared" si="4"/>
        <v>296.29082125603861</v>
      </c>
      <c r="J86" s="46">
        <f t="shared" si="1"/>
        <v>0</v>
      </c>
    </row>
    <row r="87" spans="1:10">
      <c r="A87">
        <f t="shared" si="2"/>
        <v>14</v>
      </c>
      <c r="B87" s="274">
        <f>IF('[1]IceBank Account'!B21="I",'[1]IceBank Account'!E21*$B$72*[2]Summary!$B$20,'[1]IceBank Account'!J21*[2]Summary!$B$19)</f>
        <v>486.95652173913044</v>
      </c>
      <c r="C87" s="274">
        <f>IF($C$72=0,0,IF('[1]IceBank Account'!B21="I",'[1]IceBank Account'!E21*$B$72,'[1]IceBank Account'!K21))</f>
        <v>0</v>
      </c>
      <c r="D87" s="274">
        <f>'[1]IceBank Account'!$P$4*'[1]IceBank Account'!G21*Efficiency</f>
        <v>110.00000000000001</v>
      </c>
      <c r="E87" s="274">
        <f>'[1]IceBank Account'!$U$4*'[1]IceBank Account'!H21*Efficiency</f>
        <v>0</v>
      </c>
      <c r="F87" s="295">
        <f t="shared" si="0"/>
        <v>596.95652173913049</v>
      </c>
      <c r="G87">
        <v>14</v>
      </c>
      <c r="H87" s="46">
        <f>IF('[1]IceBank Account'!B21="I",'[1]IceBank Account'!E21*$B$72*[2]Summary!$B$20,SUM(B87:E87)*[2]Summary!$B$15*[2]Summary!$B$19)</f>
        <v>95.513043478260897</v>
      </c>
      <c r="I87" s="288">
        <f t="shared" si="4"/>
        <v>296.29082125603861</v>
      </c>
      <c r="J87" s="46">
        <f t="shared" si="1"/>
        <v>0</v>
      </c>
    </row>
    <row r="88" spans="1:10">
      <c r="A88">
        <f t="shared" si="2"/>
        <v>15</v>
      </c>
      <c r="B88" s="274">
        <f>IF('[1]IceBank Account'!B22="I",'[1]IceBank Account'!E22*$B$72*[2]Summary!$B$20,'[1]IceBank Account'!J22*[2]Summary!$B$19)</f>
        <v>486.95652173913044</v>
      </c>
      <c r="C88" s="274">
        <f>IF($C$72=0,0,IF('[1]IceBank Account'!B22="I",'[1]IceBank Account'!E22*$B$72,'[1]IceBank Account'!K22))</f>
        <v>0</v>
      </c>
      <c r="D88" s="274">
        <f>'[1]IceBank Account'!$P$4*'[1]IceBank Account'!G22*Efficiency</f>
        <v>110.00000000000001</v>
      </c>
      <c r="E88" s="274">
        <f>'[1]IceBank Account'!$U$4*'[1]IceBank Account'!H22*Efficiency</f>
        <v>0</v>
      </c>
      <c r="F88" s="295">
        <f t="shared" si="0"/>
        <v>596.95652173913049</v>
      </c>
      <c r="G88">
        <v>15</v>
      </c>
      <c r="H88" s="46">
        <f>IF('[1]IceBank Account'!B22="I",'[1]IceBank Account'!E22*$B$72*[2]Summary!$B$20,SUM(B88:E88)*[2]Summary!$B$15*[2]Summary!$B$19)</f>
        <v>95.513043478260897</v>
      </c>
      <c r="I88" s="288">
        <f t="shared" si="4"/>
        <v>296.29082125603861</v>
      </c>
      <c r="J88" s="46">
        <f t="shared" si="1"/>
        <v>0</v>
      </c>
    </row>
    <row r="89" spans="1:10">
      <c r="A89">
        <f t="shared" si="2"/>
        <v>16</v>
      </c>
      <c r="B89" s="274">
        <f>IF('[1]IceBank Account'!B23="I",'[1]IceBank Account'!E23*$B$72*[2]Summary!$B$20,'[1]IceBank Account'!J23*[2]Summary!$B$19)</f>
        <v>0</v>
      </c>
      <c r="C89" s="274">
        <f>IF($C$72=0,0,IF('[1]IceBank Account'!B23="I",'[1]IceBank Account'!E23*$B$72,'[1]IceBank Account'!K23))</f>
        <v>0</v>
      </c>
      <c r="D89" s="274">
        <f>'[1]IceBank Account'!$P$4*'[1]IceBank Account'!G23*Efficiency</f>
        <v>0</v>
      </c>
      <c r="E89" s="274">
        <f>'[1]IceBank Account'!$U$4*'[1]IceBank Account'!H23*Efficiency</f>
        <v>0</v>
      </c>
      <c r="F89" s="295">
        <f t="shared" si="0"/>
        <v>0</v>
      </c>
      <c r="G89">
        <v>16</v>
      </c>
      <c r="H89" s="46">
        <f>IF('[1]IceBank Account'!B23="I",'[1]IceBank Account'!E23*$B$72*[2]Summary!$B$20,SUM(B89:E89)*[2]Summary!$B$15*[2]Summary!$B$19)</f>
        <v>0</v>
      </c>
      <c r="I89" s="288">
        <f t="shared" si="4"/>
        <v>296.29082125603861</v>
      </c>
      <c r="J89" s="46">
        <f t="shared" si="1"/>
        <v>0</v>
      </c>
    </row>
    <row r="90" spans="1:10">
      <c r="A90">
        <f t="shared" si="2"/>
        <v>17</v>
      </c>
      <c r="B90" s="274">
        <f>IF('[1]IceBank Account'!B24="I",'[1]IceBank Account'!E24*$B$72*[2]Summary!$B$20,'[1]IceBank Account'!J24*[2]Summary!$B$19)</f>
        <v>0</v>
      </c>
      <c r="C90" s="274">
        <f>IF($C$72=0,0,IF('[1]IceBank Account'!B24="I",'[1]IceBank Account'!E24*$B$72,'[1]IceBank Account'!K24))</f>
        <v>0</v>
      </c>
      <c r="D90" s="274">
        <f>'[1]IceBank Account'!$P$4*'[1]IceBank Account'!G24*Efficiency</f>
        <v>0</v>
      </c>
      <c r="E90" s="274">
        <f>'[1]IceBank Account'!$U$4*'[1]IceBank Account'!H24*Efficiency</f>
        <v>0</v>
      </c>
      <c r="F90" s="295">
        <f t="shared" si="0"/>
        <v>0</v>
      </c>
      <c r="G90">
        <v>17</v>
      </c>
      <c r="H90" s="46">
        <f>IF('[1]IceBank Account'!B24="I",'[1]IceBank Account'!E24*$B$72*[2]Summary!$B$20,SUM(B90:E90)*[2]Summary!$B$15*[2]Summary!$B$19)</f>
        <v>0</v>
      </c>
      <c r="I90" s="288">
        <f t="shared" si="4"/>
        <v>296.29082125603861</v>
      </c>
      <c r="J90" s="46">
        <f t="shared" si="1"/>
        <v>0</v>
      </c>
    </row>
    <row r="91" spans="1:10">
      <c r="A91">
        <f t="shared" si="2"/>
        <v>18</v>
      </c>
      <c r="B91" s="274">
        <f>IF('[1]IceBank Account'!B25="I",'[1]IceBank Account'!E25*$B$72*[2]Summary!$B$20,'[1]IceBank Account'!J25*[2]Summary!$B$19)</f>
        <v>0</v>
      </c>
      <c r="C91" s="274">
        <f>IF($C$72=0,0,IF('[1]IceBank Account'!B25="I",'[1]IceBank Account'!E25*$B$72,'[1]IceBank Account'!K25))</f>
        <v>0</v>
      </c>
      <c r="D91" s="274">
        <f>'[1]IceBank Account'!$P$4*'[1]IceBank Account'!G25*Efficiency</f>
        <v>0</v>
      </c>
      <c r="E91" s="274">
        <f>'[1]IceBank Account'!$U$4*'[1]IceBank Account'!H25*Efficiency</f>
        <v>0</v>
      </c>
      <c r="F91" s="295">
        <f t="shared" si="0"/>
        <v>0</v>
      </c>
      <c r="G91">
        <v>18</v>
      </c>
      <c r="H91" s="46">
        <f>IF('[1]IceBank Account'!B25="I",'[1]IceBank Account'!E25*$B$72*[2]Summary!$B$20,SUM(B91:E91)*[2]Summary!$B$15*[2]Summary!$B$19)</f>
        <v>0</v>
      </c>
      <c r="I91" s="288">
        <f t="shared" si="4"/>
        <v>296.29082125603861</v>
      </c>
      <c r="J91" s="46">
        <f t="shared" si="1"/>
        <v>0</v>
      </c>
    </row>
    <row r="92" spans="1:10">
      <c r="A92">
        <f t="shared" si="2"/>
        <v>19</v>
      </c>
      <c r="B92" s="274">
        <f>IF('[1]IceBank Account'!B26="I",'[1]IceBank Account'!E26*$B$72*[2]Summary!$B$20,'[1]IceBank Account'!J26*[2]Summary!$B$19)</f>
        <v>400</v>
      </c>
      <c r="C92" s="274">
        <f>IF($C$72=0,0,IF('[1]IceBank Account'!B26="I",'[1]IceBank Account'!E26*$B$72,'[1]IceBank Account'!K26))</f>
        <v>0</v>
      </c>
      <c r="D92" s="274">
        <f>'[1]IceBank Account'!$P$4*'[1]IceBank Account'!G26*Efficiency</f>
        <v>110.00000000000001</v>
      </c>
      <c r="E92" s="274">
        <f>'[1]IceBank Account'!$U$4*'[1]IceBank Account'!H26*Efficiency</f>
        <v>0</v>
      </c>
      <c r="F92" s="295">
        <f t="shared" si="0"/>
        <v>510</v>
      </c>
      <c r="G92" s="286">
        <v>19</v>
      </c>
      <c r="H92" s="287">
        <f>IF('[1]IceBank Account'!B26="I",'[1]IceBank Account'!E26*$B$72*[2]Summary!$B$20,SUM(B92:E92)*[2]Summary!$B$15*[2]Summary!$B$19)</f>
        <v>81.600000000000009</v>
      </c>
      <c r="I92" s="287">
        <f>H92</f>
        <v>81.600000000000009</v>
      </c>
      <c r="J92" s="287">
        <f t="shared" si="1"/>
        <v>0</v>
      </c>
    </row>
    <row r="93" spans="1:10">
      <c r="A93">
        <f t="shared" si="2"/>
        <v>20</v>
      </c>
      <c r="B93" s="274">
        <f>IF('[1]IceBank Account'!B27="I",'[1]IceBank Account'!E27*$B$72*[2]Summary!$B$20,'[1]IceBank Account'!J27*[2]Summary!$B$19)</f>
        <v>400</v>
      </c>
      <c r="C93" s="274">
        <f>IF($C$72=0,0,IF('[1]IceBank Account'!B27="I",'[1]IceBank Account'!E27*$B$72,'[1]IceBank Account'!K27))</f>
        <v>0</v>
      </c>
      <c r="D93" s="274">
        <f>'[1]IceBank Account'!$P$4*'[1]IceBank Account'!G27*Efficiency</f>
        <v>110.00000000000001</v>
      </c>
      <c r="E93" s="274">
        <f>'[1]IceBank Account'!$U$4*'[1]IceBank Account'!H27*Efficiency</f>
        <v>0</v>
      </c>
      <c r="F93" s="295">
        <f t="shared" si="0"/>
        <v>510</v>
      </c>
      <c r="G93" s="286">
        <v>20</v>
      </c>
      <c r="H93" s="287">
        <f>IF('[1]IceBank Account'!B27="I",'[1]IceBank Account'!E27*$B$72*[2]Summary!$B$20,SUM(B93:E93)*[2]Summary!$B$15*[2]Summary!$B$19)</f>
        <v>81.600000000000009</v>
      </c>
      <c r="I93" s="287">
        <f t="shared" ref="I93:I95" si="5">H93</f>
        <v>81.600000000000009</v>
      </c>
      <c r="J93" s="287">
        <f t="shared" si="1"/>
        <v>0</v>
      </c>
    </row>
    <row r="94" spans="1:10">
      <c r="A94">
        <f t="shared" si="2"/>
        <v>21</v>
      </c>
      <c r="B94" s="274">
        <f>IF('[1]IceBank Account'!B28="I",'[1]IceBank Account'!E28*$B$72*[2]Summary!$B$20,'[1]IceBank Account'!J28*[2]Summary!$B$19)</f>
        <v>400</v>
      </c>
      <c r="C94" s="274">
        <f>IF($C$72=0,0,IF('[1]IceBank Account'!B28="I",'[1]IceBank Account'!E28*$B$72,'[1]IceBank Account'!K28))</f>
        <v>0</v>
      </c>
      <c r="D94" s="274">
        <f>'[1]IceBank Account'!$P$4*'[1]IceBank Account'!G28*Efficiency</f>
        <v>110.00000000000001</v>
      </c>
      <c r="E94" s="274">
        <f>'[1]IceBank Account'!$U$4*'[1]IceBank Account'!H28*Efficiency</f>
        <v>0</v>
      </c>
      <c r="F94" s="295">
        <f t="shared" si="0"/>
        <v>510</v>
      </c>
      <c r="G94" s="286">
        <v>21</v>
      </c>
      <c r="H94" s="287">
        <f>IF('[1]IceBank Account'!B28="I",'[1]IceBank Account'!E28*$B$72*[2]Summary!$B$20,SUM(B94:E94)*[2]Summary!$B$15*[2]Summary!$B$19)</f>
        <v>81.600000000000009</v>
      </c>
      <c r="I94" s="287">
        <f t="shared" si="5"/>
        <v>81.600000000000009</v>
      </c>
      <c r="J94" s="287">
        <f t="shared" si="1"/>
        <v>0</v>
      </c>
    </row>
    <row r="95" spans="1:10">
      <c r="A95">
        <f t="shared" si="2"/>
        <v>22</v>
      </c>
      <c r="B95" s="274">
        <f>IF('[1]IceBank Account'!B29="I",'[1]IceBank Account'!E29*$B$72*[2]Summary!$B$20,'[1]IceBank Account'!J29*[2]Summary!$B$19)</f>
        <v>351.69082125603859</v>
      </c>
      <c r="C95" s="274">
        <f>IF($C$72=0,0,IF('[1]IceBank Account'!B29="I",'[1]IceBank Account'!E29*$B$72,'[1]IceBank Account'!K29))</f>
        <v>0</v>
      </c>
      <c r="D95" s="274">
        <f>'[1]IceBank Account'!$P$4*'[1]IceBank Account'!G29*Efficiency</f>
        <v>110.00000000000001</v>
      </c>
      <c r="E95" s="274">
        <f>'[1]IceBank Account'!$U$4*'[1]IceBank Account'!H29*Efficiency</f>
        <v>0</v>
      </c>
      <c r="F95" s="295">
        <f t="shared" si="0"/>
        <v>461.69082125603859</v>
      </c>
      <c r="G95" s="286">
        <v>22</v>
      </c>
      <c r="H95" s="287">
        <f>IF('[1]IceBank Account'!B29="I",'[1]IceBank Account'!E29*$B$72*[2]Summary!$B$20,SUM(B95:E95)*[2]Summary!$B$15*[2]Summary!$B$19)</f>
        <v>351.69082125603859</v>
      </c>
      <c r="I95" s="287">
        <f t="shared" si="5"/>
        <v>351.69082125603859</v>
      </c>
      <c r="J95" s="287">
        <f t="shared" si="1"/>
        <v>0</v>
      </c>
    </row>
    <row r="96" spans="1:10">
      <c r="A96">
        <f t="shared" si="2"/>
        <v>23</v>
      </c>
      <c r="B96" s="274">
        <f>IF('[1]IceBank Account'!B30="I",'[1]IceBank Account'!E30*$B$72*[2]Summary!$B$20,'[1]IceBank Account'!J30*[2]Summary!$B$19)</f>
        <v>351.69082125603859</v>
      </c>
      <c r="C96" s="274">
        <f>IF($C$72=0,0,IF('[1]IceBank Account'!B30="I",'[1]IceBank Account'!E30*$B$72,'[1]IceBank Account'!K30))</f>
        <v>0</v>
      </c>
      <c r="D96" s="274">
        <f>'[1]IceBank Account'!$P$4*'[1]IceBank Account'!G30*Efficiency</f>
        <v>110.00000000000001</v>
      </c>
      <c r="E96" s="274">
        <f>'[1]IceBank Account'!$U$4*'[1]IceBank Account'!H30*Efficiency</f>
        <v>0</v>
      </c>
      <c r="F96" s="295">
        <f t="shared" si="0"/>
        <v>461.69082125603859</v>
      </c>
      <c r="G96">
        <v>23</v>
      </c>
      <c r="H96" s="46">
        <f>IF('[1]IceBank Account'!B30="I",'[1]IceBank Account'!E30*$B$72*[2]Summary!$B$20,SUM(B96:E96)*[2]Summary!$B$15*[2]Summary!$B$19)</f>
        <v>351.69082125603859</v>
      </c>
      <c r="I96" s="46">
        <v>0</v>
      </c>
      <c r="J96" s="46">
        <f t="shared" si="1"/>
        <v>351.69082125603859</v>
      </c>
    </row>
    <row r="97" spans="1:10">
      <c r="A97">
        <f t="shared" si="2"/>
        <v>24</v>
      </c>
      <c r="B97" s="274">
        <f>IF('[1]IceBank Account'!B31="I",'[1]IceBank Account'!E31*$B$72*[2]Summary!$B$20,'[1]IceBank Account'!J31*[2]Summary!$B$19)</f>
        <v>351.69082125603859</v>
      </c>
      <c r="C97" s="274">
        <f>IF($C$72=0,0,IF('[1]IceBank Account'!B31="I",'[1]IceBank Account'!E31*$B$72,'[1]IceBank Account'!K31))</f>
        <v>0</v>
      </c>
      <c r="D97" s="274">
        <f>'[1]IceBank Account'!$P$4*'[1]IceBank Account'!G31*Efficiency</f>
        <v>110.00000000000001</v>
      </c>
      <c r="E97" s="274">
        <f>'[1]IceBank Account'!$U$4*'[1]IceBank Account'!H31*Efficiency</f>
        <v>0</v>
      </c>
      <c r="F97" s="295">
        <f t="shared" si="0"/>
        <v>461.69082125603859</v>
      </c>
      <c r="G97">
        <v>24</v>
      </c>
      <c r="H97" s="46">
        <f>IF('[1]IceBank Account'!B31="I",'[1]IceBank Account'!E31*$B$72*[2]Summary!$B$20,SUM(B97:E97)*[2]Summary!$B$15*[2]Summary!$B$19)</f>
        <v>351.69082125603859</v>
      </c>
      <c r="I97" s="46">
        <v>0</v>
      </c>
      <c r="J97" s="46">
        <f t="shared" si="1"/>
        <v>351.69082125603859</v>
      </c>
    </row>
    <row r="98" spans="1:10">
      <c r="F98" s="295"/>
      <c r="I98" s="46"/>
    </row>
    <row r="99" spans="1:10">
      <c r="F99" s="295"/>
      <c r="H99" s="293" t="s">
        <v>211</v>
      </c>
      <c r="I99" s="292">
        <f>'[1]IceBank Account'!M33</f>
        <v>3956.5217391304341</v>
      </c>
    </row>
    <row r="100" spans="1:10">
      <c r="H100" s="293" t="s">
        <v>212</v>
      </c>
      <c r="I100" s="292">
        <f>I99*[2]Summary!$B$19</f>
        <v>3165.2173913043475</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00"/>
  <sheetViews>
    <sheetView showGridLines="0" zoomScale="80" zoomScaleNormal="80" workbookViewId="0">
      <selection activeCell="B24" sqref="B24"/>
    </sheetView>
  </sheetViews>
  <sheetFormatPr defaultRowHeight="14.5"/>
  <cols>
    <col min="1" max="1" width="33.453125" customWidth="1"/>
    <col min="2" max="2" width="15.1796875" customWidth="1"/>
    <col min="6" max="6" width="36.1796875" customWidth="1"/>
    <col min="7" max="7" width="20" customWidth="1"/>
    <col min="8" max="8" width="13.453125" customWidth="1"/>
    <col min="11" max="11" width="32.54296875" customWidth="1"/>
    <col min="12" max="12" width="16.26953125" customWidth="1"/>
    <col min="13" max="13" width="13.453125" customWidth="1"/>
  </cols>
  <sheetData>
    <row r="1" spans="1:14">
      <c r="A1" s="175" t="s">
        <v>320</v>
      </c>
    </row>
    <row r="2" spans="1:14">
      <c r="A2" t="s">
        <v>321</v>
      </c>
    </row>
    <row r="3" spans="1:14">
      <c r="A3" t="s">
        <v>322</v>
      </c>
    </row>
    <row r="5" spans="1:14">
      <c r="A5" s="278" t="s">
        <v>301</v>
      </c>
      <c r="B5" s="259"/>
      <c r="F5" s="175" t="s">
        <v>161</v>
      </c>
      <c r="K5" s="175" t="s">
        <v>176</v>
      </c>
    </row>
    <row r="6" spans="1:14">
      <c r="A6" s="248" t="s">
        <v>192</v>
      </c>
      <c r="B6" s="279">
        <v>210.99</v>
      </c>
      <c r="F6" t="s">
        <v>174</v>
      </c>
      <c r="G6" s="271">
        <f>MAX('IceBank Account'!$C$8:$C$31)</f>
        <v>250</v>
      </c>
      <c r="K6" t="s">
        <v>177</v>
      </c>
      <c r="L6" s="271">
        <f>Summary!$I$6</f>
        <v>250</v>
      </c>
    </row>
    <row r="7" spans="1:14">
      <c r="A7" s="248" t="s">
        <v>302</v>
      </c>
      <c r="B7" s="280">
        <v>11.83</v>
      </c>
      <c r="K7" t="s">
        <v>178</v>
      </c>
      <c r="L7">
        <f>'IceBank Account'!$Q$33</f>
        <v>4</v>
      </c>
    </row>
    <row r="8" spans="1:14">
      <c r="A8" s="248" t="s">
        <v>303</v>
      </c>
      <c r="B8" s="257">
        <v>6.1800000000000001E-2</v>
      </c>
      <c r="F8" s="191" t="s">
        <v>162</v>
      </c>
      <c r="K8" s="191" t="s">
        <v>162</v>
      </c>
    </row>
    <row r="9" spans="1:14">
      <c r="A9" s="248" t="s">
        <v>304</v>
      </c>
      <c r="B9" s="257">
        <v>3.6110000000000003E-2</v>
      </c>
      <c r="F9" s="258" t="s">
        <v>305</v>
      </c>
      <c r="G9" s="284" t="s">
        <v>163</v>
      </c>
      <c r="H9" s="245" t="s">
        <v>164</v>
      </c>
      <c r="I9" s="12"/>
      <c r="K9" s="258" t="s">
        <v>262</v>
      </c>
      <c r="L9" s="284" t="s">
        <v>163</v>
      </c>
      <c r="M9" s="245" t="s">
        <v>164</v>
      </c>
      <c r="N9" s="12"/>
    </row>
    <row r="10" spans="1:14" ht="15" thickBot="1">
      <c r="A10" s="289" t="s">
        <v>209</v>
      </c>
      <c r="B10" s="290">
        <f>Tax</f>
        <v>0.08</v>
      </c>
      <c r="F10" t="s">
        <v>190</v>
      </c>
      <c r="G10" s="283" t="s">
        <v>196</v>
      </c>
      <c r="H10" s="260">
        <f>B6</f>
        <v>210.99</v>
      </c>
      <c r="K10" t="s">
        <v>190</v>
      </c>
      <c r="L10" s="283" t="s">
        <v>196</v>
      </c>
      <c r="M10" s="260">
        <f>B6</f>
        <v>210.99</v>
      </c>
    </row>
    <row r="11" spans="1:14">
      <c r="A11" s="339"/>
      <c r="B11" s="339"/>
      <c r="F11" t="s">
        <v>191</v>
      </c>
      <c r="G11" s="281">
        <f>B16</f>
        <v>275</v>
      </c>
      <c r="H11" s="260">
        <f>G11*$B$7</f>
        <v>3253.25</v>
      </c>
      <c r="K11" t="s">
        <v>191</v>
      </c>
      <c r="L11" s="281">
        <f>B24</f>
        <v>170.12614678899081</v>
      </c>
      <c r="M11" s="260">
        <f>L11*$B$7</f>
        <v>2012.5923165137613</v>
      </c>
    </row>
    <row r="12" spans="1:14" ht="15" thickBot="1">
      <c r="A12" s="344"/>
      <c r="B12" s="345"/>
      <c r="F12" t="s">
        <v>198</v>
      </c>
      <c r="G12" s="282">
        <f>B19</f>
        <v>22385</v>
      </c>
      <c r="H12" s="260">
        <f>G12*$B$8</f>
        <v>1383.393</v>
      </c>
      <c r="K12" t="s">
        <v>198</v>
      </c>
      <c r="L12" s="282">
        <f>B28</f>
        <v>16920.825688073393</v>
      </c>
      <c r="M12" s="260">
        <f>L12*$B$8</f>
        <v>1045.7070275229357</v>
      </c>
    </row>
    <row r="13" spans="1:14">
      <c r="A13" s="305" t="s">
        <v>202</v>
      </c>
      <c r="B13" s="306"/>
      <c r="C13" s="306"/>
      <c r="D13" s="307"/>
      <c r="F13" t="s">
        <v>199</v>
      </c>
      <c r="G13" s="282">
        <f>B20</f>
        <v>26317.5</v>
      </c>
      <c r="H13" s="260">
        <f>G13*$B$9</f>
        <v>950.32492500000012</v>
      </c>
      <c r="K13" t="s">
        <v>199</v>
      </c>
      <c r="L13" s="282">
        <f>B29</f>
        <v>34630.068807339441</v>
      </c>
      <c r="M13" s="260">
        <f>L13*$B$9</f>
        <v>1250.4917846330272</v>
      </c>
    </row>
    <row r="14" spans="1:14">
      <c r="A14" s="308" t="s">
        <v>307</v>
      </c>
      <c r="B14" s="309"/>
      <c r="C14" s="309"/>
      <c r="D14" s="310"/>
      <c r="F14" s="175" t="s">
        <v>165</v>
      </c>
      <c r="G14" s="175"/>
      <c r="H14" s="222">
        <f>SUM(H10:H13)</f>
        <v>5797.9579249999997</v>
      </c>
      <c r="I14" t="s">
        <v>308</v>
      </c>
      <c r="K14" s="175" t="s">
        <v>165</v>
      </c>
      <c r="L14" s="175"/>
      <c r="M14" s="222">
        <f>SUM(M10:M13)</f>
        <v>4519.7811286697242</v>
      </c>
      <c r="N14" t="s">
        <v>308</v>
      </c>
    </row>
    <row r="15" spans="1:14">
      <c r="A15" s="178" t="s">
        <v>309</v>
      </c>
      <c r="B15" s="311">
        <f>AVERAGE('IceBank Account'!$C$8:$C$31)*Efficiency</f>
        <v>92.239583333333343</v>
      </c>
      <c r="C15" s="312"/>
      <c r="D15" s="310"/>
      <c r="F15" s="176" t="s">
        <v>310</v>
      </c>
      <c r="G15" s="284" t="s">
        <v>163</v>
      </c>
      <c r="H15" s="245" t="s">
        <v>164</v>
      </c>
      <c r="K15" s="176" t="s">
        <v>310</v>
      </c>
      <c r="L15" s="284" t="s">
        <v>163</v>
      </c>
      <c r="M15" s="245" t="s">
        <v>164</v>
      </c>
    </row>
    <row r="16" spans="1:14">
      <c r="A16" s="178" t="s">
        <v>264</v>
      </c>
      <c r="B16" s="311">
        <f>MAX('IceBank Account'!$C$8:$C$31)*Efficiency</f>
        <v>275</v>
      </c>
      <c r="C16" s="309"/>
      <c r="D16" s="310"/>
      <c r="F16" t="s">
        <v>190</v>
      </c>
      <c r="G16" s="283" t="s">
        <v>196</v>
      </c>
      <c r="H16" s="260">
        <f>B6</f>
        <v>210.99</v>
      </c>
      <c r="K16" t="s">
        <v>190</v>
      </c>
      <c r="L16" s="283" t="s">
        <v>196</v>
      </c>
      <c r="M16" s="260">
        <f>B6</f>
        <v>210.99</v>
      </c>
    </row>
    <row r="17" spans="1:14">
      <c r="A17" s="178" t="s">
        <v>186</v>
      </c>
      <c r="B17" s="313">
        <f>SUM('IceBank Account'!$C$8:$C$31)*Efficiency</f>
        <v>2213.75</v>
      </c>
      <c r="C17" s="309"/>
      <c r="D17" s="310"/>
      <c r="F17" t="s">
        <v>191</v>
      </c>
      <c r="G17" s="281">
        <f>B16*Shoulder</f>
        <v>137.5</v>
      </c>
      <c r="H17" s="260">
        <f>G17*$B$7</f>
        <v>1626.625</v>
      </c>
      <c r="K17" t="s">
        <v>191</v>
      </c>
      <c r="L17" s="281">
        <f>B33</f>
        <v>85.063073394495405</v>
      </c>
      <c r="M17" s="260">
        <f>L17*$B$7</f>
        <v>1006.2961582568806</v>
      </c>
    </row>
    <row r="18" spans="1:14">
      <c r="A18" s="178" t="s">
        <v>187</v>
      </c>
      <c r="B18" s="313">
        <f>B17*Weekend</f>
        <v>0</v>
      </c>
      <c r="C18" s="309"/>
      <c r="D18" s="310"/>
      <c r="F18" t="s">
        <v>198</v>
      </c>
      <c r="G18" s="282">
        <f>B19*Shoulder</f>
        <v>11192.5</v>
      </c>
      <c r="H18" s="260">
        <f>G18*$B$8</f>
        <v>691.69650000000001</v>
      </c>
      <c r="K18" t="s">
        <v>198</v>
      </c>
      <c r="L18" s="282">
        <f>B37</f>
        <v>5956.5252293577978</v>
      </c>
      <c r="M18" s="260">
        <f>L18*$B$8</f>
        <v>368.11325917431191</v>
      </c>
    </row>
    <row r="19" spans="1:14">
      <c r="A19" s="178" t="s">
        <v>311</v>
      </c>
      <c r="B19" s="313">
        <f>22*SUM('IceBank Account'!$C$20:$C$28)*Efficiency</f>
        <v>22385</v>
      </c>
      <c r="C19" s="317" t="s">
        <v>312</v>
      </c>
      <c r="D19" s="310"/>
      <c r="F19" t="s">
        <v>199</v>
      </c>
      <c r="G19" s="282">
        <f>B20*Shoulder</f>
        <v>13158.75</v>
      </c>
      <c r="H19" s="260">
        <f>G19*$B$9</f>
        <v>475.16246250000006</v>
      </c>
      <c r="K19" t="s">
        <v>199</v>
      </c>
      <c r="L19" s="282">
        <f>B38</f>
        <v>19818.922018348618</v>
      </c>
      <c r="M19" s="260">
        <f>L19*$B$9</f>
        <v>715.66127408256864</v>
      </c>
    </row>
    <row r="20" spans="1:14">
      <c r="A20" s="178" t="s">
        <v>313</v>
      </c>
      <c r="B20" s="313">
        <f>B21-B19</f>
        <v>26317.5</v>
      </c>
      <c r="C20" s="309"/>
      <c r="D20" s="310"/>
      <c r="F20" s="222" t="s">
        <v>165</v>
      </c>
      <c r="G20" s="222"/>
      <c r="H20" s="222">
        <f>SUM(H16:H19)</f>
        <v>3004.4739624999997</v>
      </c>
      <c r="I20" t="str">
        <f>"x "&amp;Months-7&amp;" months"</f>
        <v>x 2 months</v>
      </c>
      <c r="J20" s="260"/>
      <c r="K20" s="222" t="s">
        <v>165</v>
      </c>
      <c r="L20" s="222"/>
      <c r="M20" s="222">
        <f>SUM(M16:M19)</f>
        <v>2301.0606915137614</v>
      </c>
      <c r="N20" t="str">
        <f>"x "&amp;Months-7&amp;" months"</f>
        <v>x 2 months</v>
      </c>
    </row>
    <row r="21" spans="1:14">
      <c r="A21" s="178" t="s">
        <v>175</v>
      </c>
      <c r="B21" s="313">
        <f>(22*B17)+(8*B18)</f>
        <v>48702.5</v>
      </c>
      <c r="C21" s="317" t="s">
        <v>295</v>
      </c>
      <c r="D21" s="310"/>
      <c r="F21" s="176"/>
      <c r="G21" s="284"/>
      <c r="H21" s="245"/>
      <c r="J21" s="260"/>
      <c r="K21" s="176"/>
      <c r="L21" s="284"/>
      <c r="M21" s="245"/>
    </row>
    <row r="22" spans="1:14">
      <c r="A22" s="314" t="s">
        <v>314</v>
      </c>
      <c r="B22" s="315"/>
      <c r="C22" s="315"/>
      <c r="D22" s="316"/>
      <c r="G22" s="283"/>
      <c r="H22" s="260"/>
      <c r="J22" s="260"/>
      <c r="L22" s="283"/>
      <c r="M22" s="260"/>
    </row>
    <row r="23" spans="1:14">
      <c r="A23" s="178" t="s">
        <v>167</v>
      </c>
      <c r="B23" s="311">
        <f>AVERAGE('Cover Page'!$I$117:$I$140)</f>
        <v>97.63426987767582</v>
      </c>
      <c r="C23" s="309"/>
      <c r="D23" s="310"/>
      <c r="F23" s="260" t="s">
        <v>169</v>
      </c>
      <c r="G23" s="260"/>
      <c r="H23" s="260">
        <f>(H14*7)+(H20*(Months-7))</f>
        <v>46594.653399999996</v>
      </c>
      <c r="J23" s="260"/>
      <c r="K23" s="260" t="s">
        <v>169</v>
      </c>
      <c r="L23" s="260"/>
      <c r="M23" s="260">
        <f>(M14*7)+(M20*(Months-7))</f>
        <v>36240.589283715592</v>
      </c>
    </row>
    <row r="24" spans="1:14">
      <c r="A24" s="178" t="s">
        <v>264</v>
      </c>
      <c r="B24" s="311">
        <f>MAX('Cover Page'!$I$129:$I$137)</f>
        <v>170.12614678899081</v>
      </c>
      <c r="C24" s="317" t="s">
        <v>312</v>
      </c>
      <c r="D24" s="310"/>
      <c r="F24" s="222" t="s">
        <v>214</v>
      </c>
      <c r="G24" s="222"/>
      <c r="H24" s="222">
        <f>H23*(1+Tax)</f>
        <v>50322.225672</v>
      </c>
      <c r="K24" s="222" t="s">
        <v>214</v>
      </c>
      <c r="L24" s="222"/>
      <c r="M24" s="222">
        <f>M23*(1+Tax)</f>
        <v>39139.83642641284</v>
      </c>
    </row>
    <row r="25" spans="1:14">
      <c r="A25" s="178" t="s">
        <v>200</v>
      </c>
      <c r="B25" s="313">
        <f>SUM('Cover Page'!$I$129:$I$137)</f>
        <v>769.12844036697243</v>
      </c>
      <c r="C25" s="317" t="s">
        <v>312</v>
      </c>
      <c r="D25" s="310"/>
      <c r="G25" s="282"/>
      <c r="H25" s="260"/>
      <c r="L25" s="282"/>
      <c r="M25" s="260"/>
    </row>
    <row r="26" spans="1:14" ht="15" thickBot="1">
      <c r="A26" s="178" t="s">
        <v>201</v>
      </c>
      <c r="B26" s="313">
        <f>'Cover Page'!$I$142-B25</f>
        <v>1574.0940366972472</v>
      </c>
      <c r="C26" s="309"/>
      <c r="D26" s="310"/>
      <c r="F26" s="222"/>
      <c r="G26" s="222"/>
      <c r="H26" s="222"/>
      <c r="K26" s="222"/>
      <c r="L26" s="222"/>
      <c r="M26" s="222"/>
    </row>
    <row r="27" spans="1:14" ht="15.5">
      <c r="A27" s="178" t="s">
        <v>187</v>
      </c>
      <c r="B27" s="313">
        <f>(B25+B26)*Weekend</f>
        <v>0</v>
      </c>
      <c r="C27" s="309"/>
      <c r="D27" s="310"/>
      <c r="F27" s="261" t="s">
        <v>170</v>
      </c>
      <c r="G27" s="262"/>
    </row>
    <row r="28" spans="1:14" ht="15.5">
      <c r="A28" s="178" t="s">
        <v>311</v>
      </c>
      <c r="B28" s="313">
        <f>B25*22</f>
        <v>16920.825688073393</v>
      </c>
      <c r="C28" s="317" t="s">
        <v>312</v>
      </c>
      <c r="D28" s="310"/>
      <c r="F28" s="263" t="s">
        <v>166</v>
      </c>
      <c r="G28" s="264">
        <f>H24</f>
        <v>50322.225672</v>
      </c>
      <c r="K28" s="260"/>
      <c r="L28" s="260"/>
      <c r="M28" s="260"/>
    </row>
    <row r="29" spans="1:14" ht="16" thickBot="1">
      <c r="A29" s="178" t="s">
        <v>313</v>
      </c>
      <c r="B29" s="313">
        <f>(22*B26)+(8*B27)</f>
        <v>34630.068807339441</v>
      </c>
      <c r="C29" s="309"/>
      <c r="D29" s="310"/>
      <c r="F29" s="265" t="s">
        <v>171</v>
      </c>
      <c r="G29" s="266">
        <f>M23</f>
        <v>36240.589283715592</v>
      </c>
    </row>
    <row r="30" spans="1:14" ht="16" thickTop="1">
      <c r="A30" s="178" t="s">
        <v>175</v>
      </c>
      <c r="B30" s="313">
        <f>B28+B29</f>
        <v>51550.894495412838</v>
      </c>
      <c r="C30" s="309"/>
      <c r="D30" s="310"/>
      <c r="F30" s="267" t="s">
        <v>172</v>
      </c>
      <c r="G30" s="268">
        <f>G28-G29</f>
        <v>14081.636388284409</v>
      </c>
    </row>
    <row r="31" spans="1:14" ht="16" thickBot="1">
      <c r="A31" s="314" t="s">
        <v>296</v>
      </c>
      <c r="B31" s="315"/>
      <c r="C31" s="315"/>
      <c r="D31" s="316"/>
      <c r="F31" s="269" t="s">
        <v>173</v>
      </c>
      <c r="G31" s="270">
        <f>G30/G28</f>
        <v>0.27982936367060629</v>
      </c>
    </row>
    <row r="32" spans="1:14">
      <c r="A32" s="178" t="s">
        <v>309</v>
      </c>
      <c r="B32" s="361">
        <f>B23*Shoulder</f>
        <v>48.81713493883791</v>
      </c>
      <c r="C32" s="309"/>
      <c r="D32" s="310"/>
    </row>
    <row r="33" spans="1:5">
      <c r="A33" s="341" t="s">
        <v>264</v>
      </c>
      <c r="B33" s="362">
        <f>MAX('Cover Page'!$I$123:$I$126,'Cover Page'!$I$135:$I$138)*Shoulder</f>
        <v>85.063073394495405</v>
      </c>
      <c r="C33" s="346" t="s">
        <v>315</v>
      </c>
      <c r="D33" s="343"/>
      <c r="E33" t="s">
        <v>316</v>
      </c>
    </row>
    <row r="34" spans="1:5">
      <c r="A34" s="341" t="s">
        <v>200</v>
      </c>
      <c r="B34" s="313">
        <f>SUM('Cover Page'!$I$123:$I$126,'Cover Page'!$I$135:$I$138)*Shoulder</f>
        <v>270.75114678899081</v>
      </c>
      <c r="C34" s="346" t="s">
        <v>315</v>
      </c>
      <c r="D34" s="343"/>
    </row>
    <row r="35" spans="1:5">
      <c r="A35" s="178" t="s">
        <v>201</v>
      </c>
      <c r="B35" s="313">
        <f>('Cover Page'!$I$142*Shoulder)-GSDT!B34</f>
        <v>900.86009174311903</v>
      </c>
      <c r="C35" s="309"/>
      <c r="D35" s="310"/>
    </row>
    <row r="36" spans="1:5">
      <c r="A36" s="178" t="s">
        <v>187</v>
      </c>
      <c r="B36" s="313">
        <f>(B34+B35)*Weekend</f>
        <v>0</v>
      </c>
      <c r="C36" s="309"/>
      <c r="D36" s="310"/>
    </row>
    <row r="37" spans="1:5">
      <c r="A37" s="341" t="s">
        <v>311</v>
      </c>
      <c r="B37" s="347">
        <f>B34*22</f>
        <v>5956.5252293577978</v>
      </c>
      <c r="C37" s="346" t="s">
        <v>315</v>
      </c>
      <c r="D37" s="343"/>
    </row>
    <row r="38" spans="1:5">
      <c r="A38" s="178" t="s">
        <v>313</v>
      </c>
      <c r="B38" s="313">
        <f>(22*B35)+(8*B36)</f>
        <v>19818.922018348618</v>
      </c>
      <c r="C38" s="309"/>
      <c r="D38" s="310"/>
    </row>
    <row r="39" spans="1:5" ht="15" thickBot="1">
      <c r="A39" s="321" t="s">
        <v>175</v>
      </c>
      <c r="B39" s="322">
        <f>B37+B38</f>
        <v>25775.447247706416</v>
      </c>
      <c r="C39" s="348" t="s">
        <v>295</v>
      </c>
      <c r="D39" s="324"/>
    </row>
    <row r="40" spans="1:5">
      <c r="A40" s="349"/>
      <c r="B40" s="235"/>
      <c r="C40" s="235"/>
      <c r="D40" s="235"/>
    </row>
    <row r="41" spans="1:5">
      <c r="A41" s="235"/>
      <c r="B41" s="281"/>
      <c r="C41" s="235"/>
      <c r="D41" s="235"/>
    </row>
    <row r="42" spans="1:5">
      <c r="A42" s="235"/>
      <c r="B42" s="281"/>
      <c r="C42" s="350"/>
      <c r="D42" s="235"/>
    </row>
    <row r="43" spans="1:5">
      <c r="A43" s="235"/>
      <c r="B43" s="282"/>
      <c r="C43" s="350"/>
      <c r="D43" s="235"/>
    </row>
    <row r="44" spans="1:5">
      <c r="A44" s="235"/>
      <c r="B44" s="282"/>
      <c r="C44" s="235"/>
      <c r="D44" s="235"/>
    </row>
    <row r="45" spans="1:5">
      <c r="A45" s="235"/>
      <c r="B45" s="282"/>
      <c r="C45" s="235"/>
      <c r="D45" s="235"/>
    </row>
    <row r="46" spans="1:5">
      <c r="A46" s="235"/>
      <c r="B46" s="282"/>
      <c r="C46" s="350"/>
      <c r="D46" s="235"/>
    </row>
    <row r="47" spans="1:5">
      <c r="A47" s="235"/>
      <c r="B47" s="282"/>
      <c r="C47" s="235"/>
      <c r="D47" s="235"/>
    </row>
    <row r="48" spans="1:5">
      <c r="A48" s="235"/>
      <c r="B48" s="282"/>
      <c r="C48" s="235"/>
      <c r="D48" s="235"/>
    </row>
    <row r="71" spans="1:10">
      <c r="A71" s="176" t="s">
        <v>189</v>
      </c>
      <c r="G71" s="175" t="s">
        <v>203</v>
      </c>
    </row>
    <row r="72" spans="1:10">
      <c r="A72" s="191" t="s">
        <v>188</v>
      </c>
      <c r="B72" s="276">
        <f>IF('[1]IceBank Account'!F4&lt;&gt;"",'[1]IceBank Account'!F4,0)</f>
        <v>676.32850241545884</v>
      </c>
      <c r="C72" s="276">
        <f>IF('[1]IceBank Account'!K4&lt;&gt;"",'[1]IceBank Account'!K4,0)</f>
        <v>0</v>
      </c>
      <c r="D72" s="276">
        <f>IF('[1]IceBank Account'!P4&lt;&gt;"",'[1]IceBank Account'!P4,0)</f>
        <v>100</v>
      </c>
      <c r="E72" s="276">
        <f>IF('[1]IceBank Account'!U4&lt;&gt;"",'[1]IceBank Account'!U4,0)</f>
        <v>0</v>
      </c>
      <c r="G72" t="s">
        <v>207</v>
      </c>
    </row>
    <row r="73" spans="1:10">
      <c r="A73" s="249" t="s">
        <v>10</v>
      </c>
      <c r="B73" s="277" t="s">
        <v>181</v>
      </c>
      <c r="C73" s="277" t="s">
        <v>182</v>
      </c>
      <c r="D73" s="277" t="s">
        <v>183</v>
      </c>
      <c r="E73" s="277" t="s">
        <v>184</v>
      </c>
      <c r="F73" s="294" t="s">
        <v>64</v>
      </c>
      <c r="G73" t="s">
        <v>10</v>
      </c>
      <c r="H73" t="s">
        <v>208</v>
      </c>
      <c r="I73" t="s">
        <v>204</v>
      </c>
      <c r="J73" t="s">
        <v>205</v>
      </c>
    </row>
    <row r="74" spans="1:10">
      <c r="A74">
        <f>1</f>
        <v>1</v>
      </c>
      <c r="B74" s="274">
        <f>IF('[1]IceBank Account'!B8="I",'[1]IceBank Account'!E8*$B$72*[2]Summary!$B$20,'[1]IceBank Account'!J8*[2]Summary!$B$19)</f>
        <v>351.69082125603859</v>
      </c>
      <c r="C74" s="274">
        <f>IF($C$72=0,0,IF('[1]IceBank Account'!B8="I",'[1]IceBank Account'!E8*$B$72*[2]Summary!$B$20,'[1]IceBank Account'!K8*[2]Summary!$B$19))</f>
        <v>0</v>
      </c>
      <c r="D74" s="274">
        <f>'[1]IceBank Account'!$P$4*'[1]IceBank Account'!G8*Efficiency</f>
        <v>110.00000000000001</v>
      </c>
      <c r="E74" s="274">
        <f>'[1]IceBank Account'!$U$4*'[1]IceBank Account'!H8*Efficiency</f>
        <v>0</v>
      </c>
      <c r="F74" s="295">
        <f>SUM(B74:E74)</f>
        <v>461.69082125603859</v>
      </c>
      <c r="G74">
        <v>1</v>
      </c>
      <c r="H74" s="46">
        <f>IF('[1]IceBank Account'!B8="I",'[1]IceBank Account'!E8*$B$72*[2]Summary!$B$20,SUM(B74:E74)*[2]Summary!$B$15*[2]Summary!$B$19)</f>
        <v>351.69082125603859</v>
      </c>
      <c r="I74" s="46">
        <v>0</v>
      </c>
      <c r="J74" s="46">
        <f>IF((H74-I74)&gt;0,H74-I74,0)</f>
        <v>351.69082125603859</v>
      </c>
    </row>
    <row r="75" spans="1:10">
      <c r="A75">
        <f>A74+1</f>
        <v>2</v>
      </c>
      <c r="B75" s="274">
        <f>IF('[1]IceBank Account'!B9="I",'[1]IceBank Account'!E9*$B$72*[2]Summary!$B$20,'[1]IceBank Account'!J9*[2]Summary!$B$19)</f>
        <v>351.69082125603859</v>
      </c>
      <c r="C75" s="274">
        <f>IF($C$72=0,0,IF('[1]IceBank Account'!B9="I",'[1]IceBank Account'!E9*$B$72,'[1]IceBank Account'!K9))</f>
        <v>0</v>
      </c>
      <c r="D75" s="274">
        <f>'[1]IceBank Account'!$P$4*'[1]IceBank Account'!G9*Efficiency</f>
        <v>110.00000000000001</v>
      </c>
      <c r="E75" s="274">
        <f>'[1]IceBank Account'!$U$4*'[1]IceBank Account'!H9*Efficiency</f>
        <v>0</v>
      </c>
      <c r="F75" s="295">
        <f t="shared" ref="F75:F97" si="0">SUM(B75:E75)</f>
        <v>461.69082125603859</v>
      </c>
      <c r="G75">
        <v>2</v>
      </c>
      <c r="H75" s="46">
        <f>IF('[1]IceBank Account'!B9="I",'[1]IceBank Account'!E9*$B$72*[2]Summary!$B$20,SUM(B75:E75)*[2]Summary!$B$15*[2]Summary!$B$19)</f>
        <v>351.69082125603859</v>
      </c>
      <c r="I75" s="46">
        <v>0</v>
      </c>
      <c r="J75" s="46">
        <f t="shared" ref="J75:J97" si="1">IF((H75-I75)&gt;0,H75-I75,0)</f>
        <v>351.69082125603859</v>
      </c>
    </row>
    <row r="76" spans="1:10">
      <c r="A76">
        <f t="shared" ref="A76:A97" si="2">A75+1</f>
        <v>3</v>
      </c>
      <c r="B76" s="274">
        <f>IF('[1]IceBank Account'!B10="I",'[1]IceBank Account'!E10*$B$72*[2]Summary!$B$20,'[1]IceBank Account'!J10*[2]Summary!$B$19)</f>
        <v>351.69082125603859</v>
      </c>
      <c r="C76" s="274">
        <f>IF($C$72=0,0,IF('[1]IceBank Account'!B10="I",'[1]IceBank Account'!E10*$B$72,'[1]IceBank Account'!K10))</f>
        <v>0</v>
      </c>
      <c r="D76" s="274">
        <f>'[1]IceBank Account'!$P$4*'[1]IceBank Account'!G10*Efficiency</f>
        <v>110.00000000000001</v>
      </c>
      <c r="E76" s="274">
        <f>'[1]IceBank Account'!$U$4*'[1]IceBank Account'!H10*Efficiency</f>
        <v>0</v>
      </c>
      <c r="F76" s="295">
        <f t="shared" si="0"/>
        <v>461.69082125603859</v>
      </c>
      <c r="G76">
        <v>3</v>
      </c>
      <c r="H76" s="46">
        <f>IF('[1]IceBank Account'!B10="I",'[1]IceBank Account'!E10*$B$72*[2]Summary!$B$20,SUM(B76:E76)*[2]Summary!$B$15*[2]Summary!$B$19)</f>
        <v>351.69082125603859</v>
      </c>
      <c r="I76" s="46">
        <v>0</v>
      </c>
      <c r="J76" s="46">
        <f t="shared" si="1"/>
        <v>351.69082125603859</v>
      </c>
    </row>
    <row r="77" spans="1:10">
      <c r="A77">
        <f t="shared" si="2"/>
        <v>4</v>
      </c>
      <c r="B77" s="274">
        <f>IF('[1]IceBank Account'!B11="I",'[1]IceBank Account'!E11*$B$72*[2]Summary!$B$20,'[1]IceBank Account'!J11*[2]Summary!$B$19)</f>
        <v>351.69082125603859</v>
      </c>
      <c r="C77" s="274">
        <f>IF($C$72=0,0,IF('[1]IceBank Account'!B11="I",'[1]IceBank Account'!E11*$B$72,'[1]IceBank Account'!K11))</f>
        <v>0</v>
      </c>
      <c r="D77" s="274">
        <f>'[1]IceBank Account'!$P$4*'[1]IceBank Account'!G11*Efficiency</f>
        <v>110.00000000000001</v>
      </c>
      <c r="E77" s="274">
        <f>'[1]IceBank Account'!$U$4*'[1]IceBank Account'!H11*Efficiency</f>
        <v>0</v>
      </c>
      <c r="F77" s="295">
        <f t="shared" si="0"/>
        <v>461.69082125603859</v>
      </c>
      <c r="G77">
        <v>4</v>
      </c>
      <c r="H77" s="46">
        <f>IF('[1]IceBank Account'!B11="I",'[1]IceBank Account'!E11*$B$72*[2]Summary!$B$20,SUM(B77:E77)*[2]Summary!$B$15*[2]Summary!$B$19)</f>
        <v>351.69082125603859</v>
      </c>
      <c r="I77" s="46">
        <v>0</v>
      </c>
      <c r="J77" s="46">
        <f t="shared" si="1"/>
        <v>351.69082125603859</v>
      </c>
    </row>
    <row r="78" spans="1:10">
      <c r="A78">
        <f t="shared" si="2"/>
        <v>5</v>
      </c>
      <c r="B78" s="274">
        <f>IF('[1]IceBank Account'!B12="I",'[1]IceBank Account'!E12*$B$72*[2]Summary!$B$20,'[1]IceBank Account'!J12*[2]Summary!$B$19)</f>
        <v>351.69082125603859</v>
      </c>
      <c r="C78" s="274">
        <f>IF($C$72=0,0,IF('[1]IceBank Account'!B12="I",'[1]IceBank Account'!E12*$B$72,'[1]IceBank Account'!K12))</f>
        <v>0</v>
      </c>
      <c r="D78" s="274">
        <f>'[1]IceBank Account'!$P$4*'[1]IceBank Account'!G12*Efficiency</f>
        <v>110.00000000000001</v>
      </c>
      <c r="E78" s="274">
        <f>'[1]IceBank Account'!$U$4*'[1]IceBank Account'!H12*Efficiency</f>
        <v>0</v>
      </c>
      <c r="F78" s="295">
        <f t="shared" si="0"/>
        <v>461.69082125603859</v>
      </c>
      <c r="G78">
        <v>5</v>
      </c>
      <c r="H78" s="46">
        <f>IF('[1]IceBank Account'!B12="I",'[1]IceBank Account'!E12*$B$72*[2]Summary!$B$20,SUM(B78:E78)*[2]Summary!$B$15*[2]Summary!$B$19)</f>
        <v>351.69082125603859</v>
      </c>
      <c r="I78" s="46">
        <v>0</v>
      </c>
      <c r="J78" s="46">
        <f t="shared" si="1"/>
        <v>351.69082125603859</v>
      </c>
    </row>
    <row r="79" spans="1:10">
      <c r="A79">
        <f t="shared" si="2"/>
        <v>6</v>
      </c>
      <c r="B79" s="274">
        <f>IF('[1]IceBank Account'!B13="I",'[1]IceBank Account'!E13*$B$72*[2]Summary!$B$20,'[1]IceBank Account'!J13*[2]Summary!$B$19)</f>
        <v>351.69082125603859</v>
      </c>
      <c r="C79" s="274">
        <f>IF($C$72=0,0,IF('[1]IceBank Account'!B13="I",'[1]IceBank Account'!E13*$B$72,'[1]IceBank Account'!K13))</f>
        <v>0</v>
      </c>
      <c r="D79" s="274">
        <f>'[1]IceBank Account'!$P$4*'[1]IceBank Account'!G13*Efficiency</f>
        <v>110.00000000000001</v>
      </c>
      <c r="E79" s="274">
        <f>'[1]IceBank Account'!$U$4*'[1]IceBank Account'!H13*Efficiency</f>
        <v>0</v>
      </c>
      <c r="F79" s="295">
        <f t="shared" si="0"/>
        <v>461.69082125603859</v>
      </c>
      <c r="G79">
        <v>6</v>
      </c>
      <c r="H79" s="46">
        <f>IF('[1]IceBank Account'!B13="I",'[1]IceBank Account'!E13*$B$72*[2]Summary!$B$20,SUM(B79:E79)*[2]Summary!$B$15*[2]Summary!$B$19)</f>
        <v>351.69082125603859</v>
      </c>
      <c r="I79" s="46">
        <v>0</v>
      </c>
      <c r="J79" s="46">
        <f t="shared" si="1"/>
        <v>351.69082125603859</v>
      </c>
    </row>
    <row r="80" spans="1:10">
      <c r="A80">
        <f t="shared" si="2"/>
        <v>7</v>
      </c>
      <c r="B80" s="274">
        <f>IF('[1]IceBank Account'!B14="I",'[1]IceBank Account'!E14*$B$72*[2]Summary!$B$20,'[1]IceBank Account'!J14*[2]Summary!$B$19)</f>
        <v>80</v>
      </c>
      <c r="C80" s="274">
        <f>IF($C$72=0,0,IF('[1]IceBank Account'!B14="I",'[1]IceBank Account'!E14*$B$72,'[1]IceBank Account'!K14))</f>
        <v>0</v>
      </c>
      <c r="D80" s="274">
        <f>'[1]IceBank Account'!$P$4*'[1]IceBank Account'!G14*Efficiency</f>
        <v>110.00000000000001</v>
      </c>
      <c r="E80" s="274">
        <f>'[1]IceBank Account'!$U$4*'[1]IceBank Account'!H14*Efficiency</f>
        <v>0</v>
      </c>
      <c r="F80" s="295">
        <f t="shared" si="0"/>
        <v>190</v>
      </c>
      <c r="G80" s="286">
        <v>7</v>
      </c>
      <c r="H80" s="287">
        <f>IF('[1]IceBank Account'!B14="I",'[1]IceBank Account'!E14*$B$72*[2]Summary!$B$20,SUM(B80:E80)*[2]Summary!$B$15*[2]Summary!$B$19)</f>
        <v>30.400000000000002</v>
      </c>
      <c r="I80" s="287">
        <f>H80</f>
        <v>30.400000000000002</v>
      </c>
      <c r="J80" s="287">
        <f t="shared" si="1"/>
        <v>0</v>
      </c>
    </row>
    <row r="81" spans="1:10">
      <c r="A81">
        <f t="shared" si="2"/>
        <v>8</v>
      </c>
      <c r="B81" s="274">
        <f>IF('[1]IceBank Account'!B15="I",'[1]IceBank Account'!E15*$B$72*[2]Summary!$B$20,'[1]IceBank Account'!J15*[2]Summary!$B$19)</f>
        <v>160</v>
      </c>
      <c r="C81" s="274">
        <f>IF($C$72=0,0,IF('[1]IceBank Account'!B15="I",'[1]IceBank Account'!E15*$B$72,'[1]IceBank Account'!K15))</f>
        <v>0</v>
      </c>
      <c r="D81" s="274">
        <f>'[1]IceBank Account'!$P$4*'[1]IceBank Account'!G15*Efficiency</f>
        <v>110.00000000000001</v>
      </c>
      <c r="E81" s="274">
        <f>'[1]IceBank Account'!$U$4*'[1]IceBank Account'!H15*Efficiency</f>
        <v>0</v>
      </c>
      <c r="F81" s="295">
        <f t="shared" si="0"/>
        <v>270</v>
      </c>
      <c r="G81" s="286">
        <v>8</v>
      </c>
      <c r="H81" s="287">
        <f>IF('[1]IceBank Account'!B15="I",'[1]IceBank Account'!E15*$B$72*[2]Summary!$B$20,SUM(B81:E81)*[2]Summary!$B$15*[2]Summary!$B$19)</f>
        <v>43.2</v>
      </c>
      <c r="I81" s="287">
        <f t="shared" ref="I81:I83" si="3">H81</f>
        <v>43.2</v>
      </c>
      <c r="J81" s="287">
        <f t="shared" si="1"/>
        <v>0</v>
      </c>
    </row>
    <row r="82" spans="1:10">
      <c r="A82">
        <f t="shared" si="2"/>
        <v>9</v>
      </c>
      <c r="B82" s="274">
        <f>IF('[1]IceBank Account'!B16="I",'[1]IceBank Account'!E16*$B$72*[2]Summary!$B$20,'[1]IceBank Account'!J16*[2]Summary!$B$19)</f>
        <v>240</v>
      </c>
      <c r="C82" s="274">
        <f>IF($C$72=0,0,IF('[1]IceBank Account'!B16="I",'[1]IceBank Account'!E16*$B$72,'[1]IceBank Account'!K16))</f>
        <v>0</v>
      </c>
      <c r="D82" s="274">
        <f>'[1]IceBank Account'!$P$4*'[1]IceBank Account'!G16*Efficiency</f>
        <v>110.00000000000001</v>
      </c>
      <c r="E82" s="274">
        <f>'[1]IceBank Account'!$U$4*'[1]IceBank Account'!H16*Efficiency</f>
        <v>0</v>
      </c>
      <c r="F82" s="295">
        <f t="shared" si="0"/>
        <v>350</v>
      </c>
      <c r="G82" s="286">
        <v>9</v>
      </c>
      <c r="H82" s="287">
        <f>IF('[1]IceBank Account'!B16="I",'[1]IceBank Account'!E16*$B$72*[2]Summary!$B$20,SUM(B82:E82)*[2]Summary!$B$15*[2]Summary!$B$19)</f>
        <v>56</v>
      </c>
      <c r="I82" s="287">
        <f t="shared" si="3"/>
        <v>56</v>
      </c>
      <c r="J82" s="287">
        <f t="shared" si="1"/>
        <v>0</v>
      </c>
    </row>
    <row r="83" spans="1:10">
      <c r="A83">
        <f t="shared" si="2"/>
        <v>10</v>
      </c>
      <c r="B83" s="274">
        <f>IF('[1]IceBank Account'!B17="I",'[1]IceBank Account'!E17*$B$72*[2]Summary!$B$20,'[1]IceBank Account'!J17*[2]Summary!$B$19)</f>
        <v>320</v>
      </c>
      <c r="C83" s="274">
        <f>IF($C$72=0,0,IF('[1]IceBank Account'!B17="I",'[1]IceBank Account'!E17*$B$72,'[1]IceBank Account'!K17))</f>
        <v>0</v>
      </c>
      <c r="D83" s="274">
        <f>'[1]IceBank Account'!$P$4*'[1]IceBank Account'!G17*Efficiency</f>
        <v>110.00000000000001</v>
      </c>
      <c r="E83" s="274">
        <f>'[1]IceBank Account'!$U$4*'[1]IceBank Account'!H17*Efficiency</f>
        <v>0</v>
      </c>
      <c r="F83" s="295">
        <f t="shared" si="0"/>
        <v>430</v>
      </c>
      <c r="G83" s="286">
        <v>10</v>
      </c>
      <c r="H83" s="287">
        <f>IF('[1]IceBank Account'!B17="I",'[1]IceBank Account'!E17*$B$72*[2]Summary!$B$20,SUM(B83:E83)*[2]Summary!$B$15*[2]Summary!$B$19)</f>
        <v>68.8</v>
      </c>
      <c r="I83" s="287">
        <f t="shared" si="3"/>
        <v>68.8</v>
      </c>
      <c r="J83" s="287">
        <f t="shared" si="1"/>
        <v>0</v>
      </c>
    </row>
    <row r="84" spans="1:10">
      <c r="A84">
        <f t="shared" si="2"/>
        <v>11</v>
      </c>
      <c r="B84" s="274">
        <f>IF('[1]IceBank Account'!B18="I",'[1]IceBank Account'!E18*$B$72*[2]Summary!$B$20,'[1]IceBank Account'!J18*[2]Summary!$B$19)</f>
        <v>486.95652173913044</v>
      </c>
      <c r="C84" s="274">
        <f>IF($C$72=0,0,IF('[1]IceBank Account'!B18="I",'[1]IceBank Account'!E18*$B$72,'[1]IceBank Account'!K18))</f>
        <v>0</v>
      </c>
      <c r="D84" s="274">
        <f>'[1]IceBank Account'!$P$4*'[1]IceBank Account'!G18*Efficiency</f>
        <v>110.00000000000001</v>
      </c>
      <c r="E84" s="274">
        <f>'[1]IceBank Account'!$U$4*'[1]IceBank Account'!H18*Efficiency</f>
        <v>0</v>
      </c>
      <c r="F84" s="295">
        <f t="shared" si="0"/>
        <v>596.95652173913049</v>
      </c>
      <c r="G84">
        <v>11</v>
      </c>
      <c r="H84" s="46">
        <f>IF('[1]IceBank Account'!B18="I",'[1]IceBank Account'!E18*$B$72*[2]Summary!$B$20,SUM(B84:E84)*[2]Summary!$B$15*[2]Summary!$B$19)</f>
        <v>95.513043478260897</v>
      </c>
      <c r="I84" s="288">
        <f t="shared" ref="I84:I91" si="4">($I$100-SUM($I$80:$I$83,$I$92:$I$95))/8</f>
        <v>296.29082125603861</v>
      </c>
      <c r="J84" s="46">
        <f t="shared" si="1"/>
        <v>0</v>
      </c>
    </row>
    <row r="85" spans="1:10">
      <c r="A85">
        <f t="shared" si="2"/>
        <v>12</v>
      </c>
      <c r="B85" s="274">
        <f>IF('[1]IceBank Account'!B19="I",'[1]IceBank Account'!E19*$B$72*[2]Summary!$B$20,'[1]IceBank Account'!J19*[2]Summary!$B$19)</f>
        <v>486.95652173913044</v>
      </c>
      <c r="C85" s="274">
        <f>IF($C$72=0,0,IF('[1]IceBank Account'!B19="I",'[1]IceBank Account'!E19*$B$72,'[1]IceBank Account'!K19))</f>
        <v>0</v>
      </c>
      <c r="D85" s="274">
        <f>'[1]IceBank Account'!$P$4*'[1]IceBank Account'!G19*Efficiency</f>
        <v>110.00000000000001</v>
      </c>
      <c r="E85" s="274">
        <f>'[1]IceBank Account'!$U$4*'[1]IceBank Account'!H19*Efficiency</f>
        <v>0</v>
      </c>
      <c r="F85" s="295">
        <f t="shared" si="0"/>
        <v>596.95652173913049</v>
      </c>
      <c r="G85">
        <v>12</v>
      </c>
      <c r="H85" s="46">
        <f>IF('[1]IceBank Account'!B19="I",'[1]IceBank Account'!E19*$B$72*[2]Summary!$B$20,SUM(B85:E85)*[2]Summary!$B$15*[2]Summary!$B$19)</f>
        <v>95.513043478260897</v>
      </c>
      <c r="I85" s="288">
        <f t="shared" si="4"/>
        <v>296.29082125603861</v>
      </c>
      <c r="J85" s="46">
        <f t="shared" si="1"/>
        <v>0</v>
      </c>
    </row>
    <row r="86" spans="1:10">
      <c r="A86">
        <f t="shared" si="2"/>
        <v>13</v>
      </c>
      <c r="B86" s="274">
        <f>IF('[1]IceBank Account'!B20="I",'[1]IceBank Account'!E20*$B$72*[2]Summary!$B$20,'[1]IceBank Account'!J20*[2]Summary!$B$19)</f>
        <v>486.95652173913044</v>
      </c>
      <c r="C86" s="274">
        <f>IF($C$72=0,0,IF('[1]IceBank Account'!B20="I",'[1]IceBank Account'!E20*$B$72,'[1]IceBank Account'!K20))</f>
        <v>0</v>
      </c>
      <c r="D86" s="274">
        <f>'[1]IceBank Account'!$P$4*'[1]IceBank Account'!G20*Efficiency</f>
        <v>110.00000000000001</v>
      </c>
      <c r="E86" s="274">
        <f>'[1]IceBank Account'!$U$4*'[1]IceBank Account'!H20*Efficiency</f>
        <v>0</v>
      </c>
      <c r="F86" s="295">
        <f t="shared" si="0"/>
        <v>596.95652173913049</v>
      </c>
      <c r="G86">
        <v>13</v>
      </c>
      <c r="H86" s="46">
        <f>IF('[1]IceBank Account'!B20="I",'[1]IceBank Account'!E20*$B$72*[2]Summary!$B$20,SUM(B86:E86)*[2]Summary!$B$15*[2]Summary!$B$19)</f>
        <v>95.513043478260897</v>
      </c>
      <c r="I86" s="288">
        <f t="shared" si="4"/>
        <v>296.29082125603861</v>
      </c>
      <c r="J86" s="46">
        <f t="shared" si="1"/>
        <v>0</v>
      </c>
    </row>
    <row r="87" spans="1:10">
      <c r="A87">
        <f t="shared" si="2"/>
        <v>14</v>
      </c>
      <c r="B87" s="274">
        <f>IF('[1]IceBank Account'!B21="I",'[1]IceBank Account'!E21*$B$72*[2]Summary!$B$20,'[1]IceBank Account'!J21*[2]Summary!$B$19)</f>
        <v>486.95652173913044</v>
      </c>
      <c r="C87" s="274">
        <f>IF($C$72=0,0,IF('[1]IceBank Account'!B21="I",'[1]IceBank Account'!E21*$B$72,'[1]IceBank Account'!K21))</f>
        <v>0</v>
      </c>
      <c r="D87" s="274">
        <f>'[1]IceBank Account'!$P$4*'[1]IceBank Account'!G21*Efficiency</f>
        <v>110.00000000000001</v>
      </c>
      <c r="E87" s="274">
        <f>'[1]IceBank Account'!$U$4*'[1]IceBank Account'!H21*Efficiency</f>
        <v>0</v>
      </c>
      <c r="F87" s="295">
        <f t="shared" si="0"/>
        <v>596.95652173913049</v>
      </c>
      <c r="G87">
        <v>14</v>
      </c>
      <c r="H87" s="46">
        <f>IF('[1]IceBank Account'!B21="I",'[1]IceBank Account'!E21*$B$72*[2]Summary!$B$20,SUM(B87:E87)*[2]Summary!$B$15*[2]Summary!$B$19)</f>
        <v>95.513043478260897</v>
      </c>
      <c r="I87" s="288">
        <f t="shared" si="4"/>
        <v>296.29082125603861</v>
      </c>
      <c r="J87" s="46">
        <f t="shared" si="1"/>
        <v>0</v>
      </c>
    </row>
    <row r="88" spans="1:10">
      <c r="A88">
        <f t="shared" si="2"/>
        <v>15</v>
      </c>
      <c r="B88" s="274">
        <f>IF('[1]IceBank Account'!B22="I",'[1]IceBank Account'!E22*$B$72*[2]Summary!$B$20,'[1]IceBank Account'!J22*[2]Summary!$B$19)</f>
        <v>486.95652173913044</v>
      </c>
      <c r="C88" s="274">
        <f>IF($C$72=0,0,IF('[1]IceBank Account'!B22="I",'[1]IceBank Account'!E22*$B$72,'[1]IceBank Account'!K22))</f>
        <v>0</v>
      </c>
      <c r="D88" s="274">
        <f>'[1]IceBank Account'!$P$4*'[1]IceBank Account'!G22*Efficiency</f>
        <v>110.00000000000001</v>
      </c>
      <c r="E88" s="274">
        <f>'[1]IceBank Account'!$U$4*'[1]IceBank Account'!H22*Efficiency</f>
        <v>0</v>
      </c>
      <c r="F88" s="295">
        <f t="shared" si="0"/>
        <v>596.95652173913049</v>
      </c>
      <c r="G88">
        <v>15</v>
      </c>
      <c r="H88" s="46">
        <f>IF('[1]IceBank Account'!B22="I",'[1]IceBank Account'!E22*$B$72*[2]Summary!$B$20,SUM(B88:E88)*[2]Summary!$B$15*[2]Summary!$B$19)</f>
        <v>95.513043478260897</v>
      </c>
      <c r="I88" s="288">
        <f t="shared" si="4"/>
        <v>296.29082125603861</v>
      </c>
      <c r="J88" s="46">
        <f t="shared" si="1"/>
        <v>0</v>
      </c>
    </row>
    <row r="89" spans="1:10">
      <c r="A89">
        <f t="shared" si="2"/>
        <v>16</v>
      </c>
      <c r="B89" s="274">
        <f>IF('[1]IceBank Account'!B23="I",'[1]IceBank Account'!E23*$B$72*[2]Summary!$B$20,'[1]IceBank Account'!J23*[2]Summary!$B$19)</f>
        <v>0</v>
      </c>
      <c r="C89" s="274">
        <f>IF($C$72=0,0,IF('[1]IceBank Account'!B23="I",'[1]IceBank Account'!E23*$B$72,'[1]IceBank Account'!K23))</f>
        <v>0</v>
      </c>
      <c r="D89" s="274">
        <f>'[1]IceBank Account'!$P$4*'[1]IceBank Account'!G23*Efficiency</f>
        <v>0</v>
      </c>
      <c r="E89" s="274">
        <f>'[1]IceBank Account'!$U$4*'[1]IceBank Account'!H23*Efficiency</f>
        <v>0</v>
      </c>
      <c r="F89" s="295">
        <f t="shared" si="0"/>
        <v>0</v>
      </c>
      <c r="G89">
        <v>16</v>
      </c>
      <c r="H89" s="46">
        <f>IF('[1]IceBank Account'!B23="I",'[1]IceBank Account'!E23*$B$72*[2]Summary!$B$20,SUM(B89:E89)*[2]Summary!$B$15*[2]Summary!$B$19)</f>
        <v>0</v>
      </c>
      <c r="I89" s="288">
        <f t="shared" si="4"/>
        <v>296.29082125603861</v>
      </c>
      <c r="J89" s="46">
        <f t="shared" si="1"/>
        <v>0</v>
      </c>
    </row>
    <row r="90" spans="1:10">
      <c r="A90">
        <f t="shared" si="2"/>
        <v>17</v>
      </c>
      <c r="B90" s="274">
        <f>IF('[1]IceBank Account'!B24="I",'[1]IceBank Account'!E24*$B$72*[2]Summary!$B$20,'[1]IceBank Account'!J24*[2]Summary!$B$19)</f>
        <v>0</v>
      </c>
      <c r="C90" s="274">
        <f>IF($C$72=0,0,IF('[1]IceBank Account'!B24="I",'[1]IceBank Account'!E24*$B$72,'[1]IceBank Account'!K24))</f>
        <v>0</v>
      </c>
      <c r="D90" s="274">
        <f>'[1]IceBank Account'!$P$4*'[1]IceBank Account'!G24*Efficiency</f>
        <v>0</v>
      </c>
      <c r="E90" s="274">
        <f>'[1]IceBank Account'!$U$4*'[1]IceBank Account'!H24*Efficiency</f>
        <v>0</v>
      </c>
      <c r="F90" s="295">
        <f t="shared" si="0"/>
        <v>0</v>
      </c>
      <c r="G90">
        <v>17</v>
      </c>
      <c r="H90" s="46">
        <f>IF('[1]IceBank Account'!B24="I",'[1]IceBank Account'!E24*$B$72*[2]Summary!$B$20,SUM(B90:E90)*[2]Summary!$B$15*[2]Summary!$B$19)</f>
        <v>0</v>
      </c>
      <c r="I90" s="288">
        <f t="shared" si="4"/>
        <v>296.29082125603861</v>
      </c>
      <c r="J90" s="46">
        <f t="shared" si="1"/>
        <v>0</v>
      </c>
    </row>
    <row r="91" spans="1:10">
      <c r="A91">
        <f t="shared" si="2"/>
        <v>18</v>
      </c>
      <c r="B91" s="274">
        <f>IF('[1]IceBank Account'!B25="I",'[1]IceBank Account'!E25*$B$72*[2]Summary!$B$20,'[1]IceBank Account'!J25*[2]Summary!$B$19)</f>
        <v>0</v>
      </c>
      <c r="C91" s="274">
        <f>IF($C$72=0,0,IF('[1]IceBank Account'!B25="I",'[1]IceBank Account'!E25*$B$72,'[1]IceBank Account'!K25))</f>
        <v>0</v>
      </c>
      <c r="D91" s="274">
        <f>'[1]IceBank Account'!$P$4*'[1]IceBank Account'!G25*Efficiency</f>
        <v>0</v>
      </c>
      <c r="E91" s="274">
        <f>'[1]IceBank Account'!$U$4*'[1]IceBank Account'!H25*Efficiency</f>
        <v>0</v>
      </c>
      <c r="F91" s="295">
        <f t="shared" si="0"/>
        <v>0</v>
      </c>
      <c r="G91">
        <v>18</v>
      </c>
      <c r="H91" s="46">
        <f>IF('[1]IceBank Account'!B25="I",'[1]IceBank Account'!E25*$B$72*[2]Summary!$B$20,SUM(B91:E91)*[2]Summary!$B$15*[2]Summary!$B$19)</f>
        <v>0</v>
      </c>
      <c r="I91" s="288">
        <f t="shared" si="4"/>
        <v>296.29082125603861</v>
      </c>
      <c r="J91" s="46">
        <f t="shared" si="1"/>
        <v>0</v>
      </c>
    </row>
    <row r="92" spans="1:10">
      <c r="A92">
        <f t="shared" si="2"/>
        <v>19</v>
      </c>
      <c r="B92" s="274">
        <f>IF('[1]IceBank Account'!B26="I",'[1]IceBank Account'!E26*$B$72*[2]Summary!$B$20,'[1]IceBank Account'!J26*[2]Summary!$B$19)</f>
        <v>400</v>
      </c>
      <c r="C92" s="274">
        <f>IF($C$72=0,0,IF('[1]IceBank Account'!B26="I",'[1]IceBank Account'!E26*$B$72,'[1]IceBank Account'!K26))</f>
        <v>0</v>
      </c>
      <c r="D92" s="274">
        <f>'[1]IceBank Account'!$P$4*'[1]IceBank Account'!G26*Efficiency</f>
        <v>110.00000000000001</v>
      </c>
      <c r="E92" s="274">
        <f>'[1]IceBank Account'!$U$4*'[1]IceBank Account'!H26*Efficiency</f>
        <v>0</v>
      </c>
      <c r="F92" s="295">
        <f t="shared" si="0"/>
        <v>510</v>
      </c>
      <c r="G92" s="286">
        <v>19</v>
      </c>
      <c r="H92" s="287">
        <f>IF('[1]IceBank Account'!B26="I",'[1]IceBank Account'!E26*$B$72*[2]Summary!$B$20,SUM(B92:E92)*[2]Summary!$B$15*[2]Summary!$B$19)</f>
        <v>81.600000000000009</v>
      </c>
      <c r="I92" s="287">
        <f>H92</f>
        <v>81.600000000000009</v>
      </c>
      <c r="J92" s="287">
        <f t="shared" si="1"/>
        <v>0</v>
      </c>
    </row>
    <row r="93" spans="1:10">
      <c r="A93">
        <f t="shared" si="2"/>
        <v>20</v>
      </c>
      <c r="B93" s="274">
        <f>IF('[1]IceBank Account'!B27="I",'[1]IceBank Account'!E27*$B$72*[2]Summary!$B$20,'[1]IceBank Account'!J27*[2]Summary!$B$19)</f>
        <v>400</v>
      </c>
      <c r="C93" s="274">
        <f>IF($C$72=0,0,IF('[1]IceBank Account'!B27="I",'[1]IceBank Account'!E27*$B$72,'[1]IceBank Account'!K27))</f>
        <v>0</v>
      </c>
      <c r="D93" s="274">
        <f>'[1]IceBank Account'!$P$4*'[1]IceBank Account'!G27*Efficiency</f>
        <v>110.00000000000001</v>
      </c>
      <c r="E93" s="274">
        <f>'[1]IceBank Account'!$U$4*'[1]IceBank Account'!H27*Efficiency</f>
        <v>0</v>
      </c>
      <c r="F93" s="295">
        <f t="shared" si="0"/>
        <v>510</v>
      </c>
      <c r="G93" s="286">
        <v>20</v>
      </c>
      <c r="H93" s="287">
        <f>IF('[1]IceBank Account'!B27="I",'[1]IceBank Account'!E27*$B$72*[2]Summary!$B$20,SUM(B93:E93)*[2]Summary!$B$15*[2]Summary!$B$19)</f>
        <v>81.600000000000009</v>
      </c>
      <c r="I93" s="287">
        <f t="shared" ref="I93:I95" si="5">H93</f>
        <v>81.600000000000009</v>
      </c>
      <c r="J93" s="287">
        <f t="shared" si="1"/>
        <v>0</v>
      </c>
    </row>
    <row r="94" spans="1:10">
      <c r="A94">
        <f t="shared" si="2"/>
        <v>21</v>
      </c>
      <c r="B94" s="274">
        <f>IF('[1]IceBank Account'!B28="I",'[1]IceBank Account'!E28*$B$72*[2]Summary!$B$20,'[1]IceBank Account'!J28*[2]Summary!$B$19)</f>
        <v>400</v>
      </c>
      <c r="C94" s="274">
        <f>IF($C$72=0,0,IF('[1]IceBank Account'!B28="I",'[1]IceBank Account'!E28*$B$72,'[1]IceBank Account'!K28))</f>
        <v>0</v>
      </c>
      <c r="D94" s="274">
        <f>'[1]IceBank Account'!$P$4*'[1]IceBank Account'!G28*Efficiency</f>
        <v>110.00000000000001</v>
      </c>
      <c r="E94" s="274">
        <f>'[1]IceBank Account'!$U$4*'[1]IceBank Account'!H28*Efficiency</f>
        <v>0</v>
      </c>
      <c r="F94" s="295">
        <f t="shared" si="0"/>
        <v>510</v>
      </c>
      <c r="G94" s="286">
        <v>21</v>
      </c>
      <c r="H94" s="287">
        <f>IF('[1]IceBank Account'!B28="I",'[1]IceBank Account'!E28*$B$72*[2]Summary!$B$20,SUM(B94:E94)*[2]Summary!$B$15*[2]Summary!$B$19)</f>
        <v>81.600000000000009</v>
      </c>
      <c r="I94" s="287">
        <f t="shared" si="5"/>
        <v>81.600000000000009</v>
      </c>
      <c r="J94" s="287">
        <f t="shared" si="1"/>
        <v>0</v>
      </c>
    </row>
    <row r="95" spans="1:10">
      <c r="A95">
        <f t="shared" si="2"/>
        <v>22</v>
      </c>
      <c r="B95" s="274">
        <f>IF('[1]IceBank Account'!B29="I",'[1]IceBank Account'!E29*$B$72*[2]Summary!$B$20,'[1]IceBank Account'!J29*[2]Summary!$B$19)</f>
        <v>351.69082125603859</v>
      </c>
      <c r="C95" s="274">
        <f>IF($C$72=0,0,IF('[1]IceBank Account'!B29="I",'[1]IceBank Account'!E29*$B$72,'[1]IceBank Account'!K29))</f>
        <v>0</v>
      </c>
      <c r="D95" s="274">
        <f>'[1]IceBank Account'!$P$4*'[1]IceBank Account'!G29*Efficiency</f>
        <v>110.00000000000001</v>
      </c>
      <c r="E95" s="274">
        <f>'[1]IceBank Account'!$U$4*'[1]IceBank Account'!H29*Efficiency</f>
        <v>0</v>
      </c>
      <c r="F95" s="295">
        <f t="shared" si="0"/>
        <v>461.69082125603859</v>
      </c>
      <c r="G95" s="286">
        <v>22</v>
      </c>
      <c r="H95" s="287">
        <f>IF('[1]IceBank Account'!B29="I",'[1]IceBank Account'!E29*$B$72*[2]Summary!$B$20,SUM(B95:E95)*[2]Summary!$B$15*[2]Summary!$B$19)</f>
        <v>351.69082125603859</v>
      </c>
      <c r="I95" s="287">
        <f t="shared" si="5"/>
        <v>351.69082125603859</v>
      </c>
      <c r="J95" s="287">
        <f t="shared" si="1"/>
        <v>0</v>
      </c>
    </row>
    <row r="96" spans="1:10">
      <c r="A96">
        <f t="shared" si="2"/>
        <v>23</v>
      </c>
      <c r="B96" s="274">
        <f>IF('[1]IceBank Account'!B30="I",'[1]IceBank Account'!E30*$B$72*[2]Summary!$B$20,'[1]IceBank Account'!J30*[2]Summary!$B$19)</f>
        <v>351.69082125603859</v>
      </c>
      <c r="C96" s="274">
        <f>IF($C$72=0,0,IF('[1]IceBank Account'!B30="I",'[1]IceBank Account'!E30*$B$72,'[1]IceBank Account'!K30))</f>
        <v>0</v>
      </c>
      <c r="D96" s="274">
        <f>'[1]IceBank Account'!$P$4*'[1]IceBank Account'!G30*Efficiency</f>
        <v>110.00000000000001</v>
      </c>
      <c r="E96" s="274">
        <f>'[1]IceBank Account'!$U$4*'[1]IceBank Account'!H30*Efficiency</f>
        <v>0</v>
      </c>
      <c r="F96" s="295">
        <f t="shared" si="0"/>
        <v>461.69082125603859</v>
      </c>
      <c r="G96">
        <v>23</v>
      </c>
      <c r="H96" s="46">
        <f>IF('[1]IceBank Account'!B30="I",'[1]IceBank Account'!E30*$B$72*[2]Summary!$B$20,SUM(B96:E96)*[2]Summary!$B$15*[2]Summary!$B$19)</f>
        <v>351.69082125603859</v>
      </c>
      <c r="I96" s="46">
        <v>0</v>
      </c>
      <c r="J96" s="46">
        <f t="shared" si="1"/>
        <v>351.69082125603859</v>
      </c>
    </row>
    <row r="97" spans="1:10">
      <c r="A97">
        <f t="shared" si="2"/>
        <v>24</v>
      </c>
      <c r="B97" s="274">
        <f>IF('[1]IceBank Account'!B31="I",'[1]IceBank Account'!E31*$B$72*[2]Summary!$B$20,'[1]IceBank Account'!J31*[2]Summary!$B$19)</f>
        <v>351.69082125603859</v>
      </c>
      <c r="C97" s="274">
        <f>IF($C$72=0,0,IF('[1]IceBank Account'!B31="I",'[1]IceBank Account'!E31*$B$72,'[1]IceBank Account'!K31))</f>
        <v>0</v>
      </c>
      <c r="D97" s="274">
        <f>'[1]IceBank Account'!$P$4*'[1]IceBank Account'!G31*Efficiency</f>
        <v>110.00000000000001</v>
      </c>
      <c r="E97" s="274">
        <f>'[1]IceBank Account'!$U$4*'[1]IceBank Account'!H31*Efficiency</f>
        <v>0</v>
      </c>
      <c r="F97" s="295">
        <f t="shared" si="0"/>
        <v>461.69082125603859</v>
      </c>
      <c r="G97">
        <v>24</v>
      </c>
      <c r="H97" s="46">
        <f>IF('[1]IceBank Account'!B31="I",'[1]IceBank Account'!E31*$B$72*[2]Summary!$B$20,SUM(B97:E97)*[2]Summary!$B$15*[2]Summary!$B$19)</f>
        <v>351.69082125603859</v>
      </c>
      <c r="I97" s="46">
        <v>0</v>
      </c>
      <c r="J97" s="46">
        <f t="shared" si="1"/>
        <v>351.69082125603859</v>
      </c>
    </row>
    <row r="98" spans="1:10">
      <c r="F98" s="295"/>
      <c r="I98" s="46"/>
    </row>
    <row r="99" spans="1:10">
      <c r="F99" s="295"/>
      <c r="H99" s="293" t="s">
        <v>211</v>
      </c>
      <c r="I99" s="292">
        <f>'[1]IceBank Account'!M33</f>
        <v>3956.5217391304341</v>
      </c>
    </row>
    <row r="100" spans="1:10">
      <c r="H100" s="293" t="s">
        <v>212</v>
      </c>
      <c r="I100" s="292">
        <f>I99*[2]Summary!$B$19</f>
        <v>3165.2173913043475</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98"/>
  <sheetViews>
    <sheetView showGridLines="0" zoomScale="80" zoomScaleNormal="80" workbookViewId="0">
      <selection activeCell="F52" sqref="F52"/>
    </sheetView>
  </sheetViews>
  <sheetFormatPr defaultRowHeight="14.5"/>
  <cols>
    <col min="1" max="1" width="33.453125" customWidth="1"/>
    <col min="2" max="2" width="15.1796875" customWidth="1"/>
    <col min="6" max="6" width="36.1796875" customWidth="1"/>
    <col min="7" max="7" width="20" customWidth="1"/>
    <col min="8" max="8" width="13.453125" customWidth="1"/>
    <col min="11" max="11" width="32.54296875" customWidth="1"/>
    <col min="12" max="12" width="16.26953125" customWidth="1"/>
    <col min="13" max="13" width="13.453125" customWidth="1"/>
  </cols>
  <sheetData>
    <row r="1" spans="1:14">
      <c r="A1" s="175" t="s">
        <v>280</v>
      </c>
    </row>
    <row r="2" spans="1:14">
      <c r="A2" t="s">
        <v>323</v>
      </c>
    </row>
    <row r="5" spans="1:14">
      <c r="A5" s="278" t="s">
        <v>261</v>
      </c>
      <c r="B5" s="259"/>
      <c r="F5" s="175" t="s">
        <v>161</v>
      </c>
      <c r="K5" s="175" t="s">
        <v>176</v>
      </c>
    </row>
    <row r="6" spans="1:14">
      <c r="A6" s="248" t="s">
        <v>192</v>
      </c>
      <c r="B6" s="279">
        <v>25.96</v>
      </c>
      <c r="F6" t="s">
        <v>174</v>
      </c>
      <c r="G6" s="271">
        <f>MAX('IceBank Account'!$C$8:$C$31)</f>
        <v>250</v>
      </c>
      <c r="K6" t="s">
        <v>177</v>
      </c>
      <c r="L6" s="271">
        <f>Summary!$I$6</f>
        <v>250</v>
      </c>
    </row>
    <row r="7" spans="1:14">
      <c r="A7" s="248" t="s">
        <v>250</v>
      </c>
      <c r="B7" s="257"/>
      <c r="K7" t="s">
        <v>178</v>
      </c>
      <c r="L7">
        <f>'IceBank Account'!$Q$33</f>
        <v>4</v>
      </c>
    </row>
    <row r="8" spans="1:14">
      <c r="A8" s="248" t="s">
        <v>255</v>
      </c>
      <c r="B8" s="280">
        <v>11.4</v>
      </c>
      <c r="F8" s="191" t="s">
        <v>162</v>
      </c>
      <c r="K8" s="191" t="s">
        <v>162</v>
      </c>
    </row>
    <row r="9" spans="1:14">
      <c r="A9" s="248" t="s">
        <v>256</v>
      </c>
      <c r="B9" s="257">
        <v>0.12753999999999999</v>
      </c>
      <c r="F9" s="258" t="s">
        <v>250</v>
      </c>
      <c r="G9" s="284" t="s">
        <v>163</v>
      </c>
      <c r="H9" s="245" t="s">
        <v>164</v>
      </c>
      <c r="I9" s="12"/>
      <c r="K9" s="258" t="s">
        <v>250</v>
      </c>
      <c r="L9" s="284" t="s">
        <v>163</v>
      </c>
      <c r="M9" s="245" t="s">
        <v>164</v>
      </c>
      <c r="N9" s="12"/>
    </row>
    <row r="10" spans="1:14">
      <c r="A10" s="248" t="s">
        <v>252</v>
      </c>
      <c r="B10" s="257">
        <v>4.1939999999999998E-2</v>
      </c>
      <c r="F10" t="s">
        <v>190</v>
      </c>
      <c r="G10" s="283" t="s">
        <v>196</v>
      </c>
      <c r="H10" s="260">
        <f>B6</f>
        <v>25.96</v>
      </c>
      <c r="K10" t="s">
        <v>190</v>
      </c>
      <c r="L10" s="283" t="s">
        <v>196</v>
      </c>
      <c r="M10" s="260">
        <f>B6</f>
        <v>25.96</v>
      </c>
    </row>
    <row r="11" spans="1:14">
      <c r="A11" s="248" t="s">
        <v>253</v>
      </c>
      <c r="B11" s="257"/>
      <c r="F11" t="s">
        <v>191</v>
      </c>
      <c r="G11" s="281">
        <f>B24</f>
        <v>275</v>
      </c>
      <c r="H11" s="260">
        <f>G11*$B$8</f>
        <v>3135</v>
      </c>
      <c r="K11" t="s">
        <v>191</v>
      </c>
      <c r="L11" s="281">
        <f>B32</f>
        <v>143.75</v>
      </c>
      <c r="M11" s="260">
        <f>L11*$B$16</f>
        <v>1405.875</v>
      </c>
    </row>
    <row r="12" spans="1:14">
      <c r="A12" s="248" t="s">
        <v>251</v>
      </c>
      <c r="B12" s="280">
        <v>9.7799999999999994</v>
      </c>
      <c r="F12" t="s">
        <v>198</v>
      </c>
      <c r="G12" s="282">
        <f>B27</f>
        <v>5445</v>
      </c>
      <c r="H12" s="260">
        <f>G12*$B$9</f>
        <v>694.45529999999997</v>
      </c>
      <c r="K12" t="s">
        <v>198</v>
      </c>
      <c r="L12" s="282">
        <f>B36</f>
        <v>5692.5</v>
      </c>
      <c r="M12" s="260">
        <f>L12*$B$17</f>
        <v>460.06785000000002</v>
      </c>
    </row>
    <row r="13" spans="1:14">
      <c r="A13" s="248" t="s">
        <v>257</v>
      </c>
      <c r="B13" s="257">
        <v>8.0820000000000003E-2</v>
      </c>
      <c r="F13" t="s">
        <v>199</v>
      </c>
      <c r="G13" s="282">
        <f>B28</f>
        <v>43257.5</v>
      </c>
      <c r="H13" s="260">
        <f>G13*B10</f>
        <v>1814.21955</v>
      </c>
      <c r="K13" t="s">
        <v>199</v>
      </c>
      <c r="L13" s="282">
        <f>B37</f>
        <v>45858.394495412831</v>
      </c>
      <c r="M13" s="260">
        <f>L13*B10</f>
        <v>1923.3010651376142</v>
      </c>
    </row>
    <row r="14" spans="1:14">
      <c r="A14" s="248" t="s">
        <v>252</v>
      </c>
      <c r="B14" s="257">
        <v>4.045E-2</v>
      </c>
      <c r="F14" s="175" t="s">
        <v>165</v>
      </c>
      <c r="G14" s="175"/>
      <c r="H14" s="222">
        <f>SUM(H10:H13)</f>
        <v>5669.6348500000004</v>
      </c>
      <c r="I14" t="s">
        <v>263</v>
      </c>
      <c r="K14" s="175" t="s">
        <v>165</v>
      </c>
      <c r="L14" s="175"/>
      <c r="M14" s="222">
        <f>SUM(M10:M13)</f>
        <v>3815.2039151376139</v>
      </c>
      <c r="N14" t="s">
        <v>263</v>
      </c>
    </row>
    <row r="15" spans="1:14">
      <c r="A15" s="248" t="s">
        <v>254</v>
      </c>
      <c r="B15" s="257"/>
      <c r="F15" s="176" t="s">
        <v>324</v>
      </c>
      <c r="G15" s="284" t="s">
        <v>163</v>
      </c>
      <c r="H15" s="245" t="s">
        <v>164</v>
      </c>
      <c r="K15" s="176" t="s">
        <v>324</v>
      </c>
      <c r="L15" s="284" t="s">
        <v>163</v>
      </c>
      <c r="M15" s="245" t="s">
        <v>164</v>
      </c>
    </row>
    <row r="16" spans="1:14">
      <c r="A16" s="248" t="s">
        <v>258</v>
      </c>
      <c r="B16" s="280">
        <v>9.7799999999999994</v>
      </c>
      <c r="F16" t="s">
        <v>190</v>
      </c>
      <c r="G16" s="283" t="s">
        <v>196</v>
      </c>
      <c r="H16" s="260">
        <f>B6</f>
        <v>25.96</v>
      </c>
      <c r="K16" t="s">
        <v>190</v>
      </c>
      <c r="L16" s="283" t="s">
        <v>196</v>
      </c>
      <c r="M16" s="260">
        <f>B6</f>
        <v>25.96</v>
      </c>
    </row>
    <row r="17" spans="1:14">
      <c r="A17" s="248" t="s">
        <v>259</v>
      </c>
      <c r="B17" s="257">
        <v>8.0820000000000003E-2</v>
      </c>
      <c r="F17" t="s">
        <v>191</v>
      </c>
      <c r="G17" s="281">
        <f>B24</f>
        <v>275</v>
      </c>
      <c r="H17" s="260">
        <f>G17*$B$12</f>
        <v>2689.5</v>
      </c>
      <c r="K17" t="s">
        <v>191</v>
      </c>
      <c r="L17" s="281">
        <f>B41</f>
        <v>133.95945945945945</v>
      </c>
      <c r="M17" s="260">
        <f>L17*$B$12</f>
        <v>1310.1235135135134</v>
      </c>
    </row>
    <row r="18" spans="1:14">
      <c r="A18" s="248" t="s">
        <v>260</v>
      </c>
      <c r="B18" s="257">
        <v>4.045E-2</v>
      </c>
      <c r="F18" t="s">
        <v>198</v>
      </c>
      <c r="G18" s="282">
        <f>B27</f>
        <v>5445</v>
      </c>
      <c r="H18" s="260">
        <f>G18*$B$13</f>
        <v>440.06490000000002</v>
      </c>
      <c r="K18" t="s">
        <v>198</v>
      </c>
      <c r="L18" s="282">
        <f>L17*9*22</f>
        <v>26523.97297297297</v>
      </c>
      <c r="M18" s="260">
        <f>L18*$B$13</f>
        <v>2143.6674956756756</v>
      </c>
    </row>
    <row r="19" spans="1:14" ht="15" thickBot="1">
      <c r="A19" s="289" t="s">
        <v>209</v>
      </c>
      <c r="B19" s="290">
        <f>Tax</f>
        <v>0.08</v>
      </c>
      <c r="F19" t="s">
        <v>199</v>
      </c>
      <c r="G19" s="282">
        <f>B29-G18</f>
        <v>43257.5</v>
      </c>
      <c r="H19" s="260">
        <f>G19*$B$14</f>
        <v>1749.7658750000001</v>
      </c>
      <c r="K19" t="s">
        <v>199</v>
      </c>
      <c r="L19" s="282">
        <f>B47-L18</f>
        <v>25026.921522439869</v>
      </c>
      <c r="M19" s="260">
        <f>L19*B14</f>
        <v>1012.3389755826927</v>
      </c>
    </row>
    <row r="20" spans="1:14" ht="15" thickBot="1">
      <c r="F20" s="222" t="s">
        <v>165</v>
      </c>
      <c r="G20" s="222"/>
      <c r="H20" s="222">
        <f>SUM(H16:H19)</f>
        <v>4905.2907749999995</v>
      </c>
      <c r="I20" t="s">
        <v>325</v>
      </c>
      <c r="J20" s="260"/>
      <c r="K20" s="222" t="s">
        <v>165</v>
      </c>
      <c r="L20" s="222"/>
      <c r="M20" s="222">
        <f>SUM(M16:M19)</f>
        <v>4492.089984771882</v>
      </c>
      <c r="N20" t="s">
        <v>325</v>
      </c>
    </row>
    <row r="21" spans="1:14">
      <c r="A21" s="305" t="s">
        <v>202</v>
      </c>
      <c r="B21" s="306"/>
      <c r="C21" s="306"/>
      <c r="D21" s="307"/>
      <c r="F21" s="176" t="str">
        <f>"Nov-March ("&amp;Months-6&amp;" months cooling)"</f>
        <v>Nov-March (3 months cooling)</v>
      </c>
      <c r="G21" s="284" t="s">
        <v>163</v>
      </c>
      <c r="H21" s="245" t="s">
        <v>164</v>
      </c>
      <c r="J21" s="260"/>
      <c r="K21" s="176" t="str">
        <f>"Nov-March ("&amp;[2]Summary!B13-6&amp;" months cooling)"</f>
        <v>Nov-March (7494 months cooling)</v>
      </c>
      <c r="L21" s="284" t="s">
        <v>163</v>
      </c>
      <c r="M21" s="245" t="s">
        <v>164</v>
      </c>
    </row>
    <row r="22" spans="1:14">
      <c r="A22" s="308" t="s">
        <v>166</v>
      </c>
      <c r="B22" s="309"/>
      <c r="C22" s="309"/>
      <c r="D22" s="310"/>
      <c r="F22" t="s">
        <v>190</v>
      </c>
      <c r="G22" s="283" t="s">
        <v>196</v>
      </c>
      <c r="H22" s="260">
        <f>B6</f>
        <v>25.96</v>
      </c>
      <c r="J22" s="260"/>
      <c r="K22" t="s">
        <v>190</v>
      </c>
      <c r="L22" s="283" t="s">
        <v>196</v>
      </c>
      <c r="M22" s="260">
        <f>B6</f>
        <v>25.96</v>
      </c>
    </row>
    <row r="23" spans="1:14">
      <c r="A23" s="178" t="s">
        <v>309</v>
      </c>
      <c r="B23" s="311">
        <f>AVERAGE('IceBank Account'!$C$8:$C$31)*Efficiency</f>
        <v>92.239583333333343</v>
      </c>
      <c r="C23" s="312"/>
      <c r="D23" s="310"/>
      <c r="F23" t="s">
        <v>191</v>
      </c>
      <c r="G23" s="281">
        <f>G17*Shoulder</f>
        <v>137.5</v>
      </c>
      <c r="H23" s="260">
        <f>G23*$B$16</f>
        <v>1344.75</v>
      </c>
      <c r="J23" s="260"/>
      <c r="K23" t="s">
        <v>191</v>
      </c>
      <c r="L23" s="281">
        <v>0</v>
      </c>
      <c r="M23" s="260">
        <f>L23*$B$16</f>
        <v>0</v>
      </c>
    </row>
    <row r="24" spans="1:14">
      <c r="A24" s="178" t="s">
        <v>264</v>
      </c>
      <c r="B24" s="311">
        <f>MAX('IceBank Account'!$C$8:$C$31)*Efficiency</f>
        <v>275</v>
      </c>
      <c r="C24" s="317" t="s">
        <v>326</v>
      </c>
      <c r="D24" s="310"/>
      <c r="F24" t="s">
        <v>198</v>
      </c>
      <c r="G24" s="282">
        <f>G18*Shoulder</f>
        <v>2722.5</v>
      </c>
      <c r="H24" s="260">
        <f>G24*$B$17</f>
        <v>220.03245000000001</v>
      </c>
      <c r="K24" t="s">
        <v>198</v>
      </c>
      <c r="L24" s="282">
        <f>B54</f>
        <v>5956.5252293577978</v>
      </c>
      <c r="M24" s="260">
        <f>L24*$B$17</f>
        <v>481.40636903669724</v>
      </c>
    </row>
    <row r="25" spans="1:14">
      <c r="A25" s="178" t="s">
        <v>186</v>
      </c>
      <c r="B25" s="313">
        <f>SUM('IceBank Account'!$C$8:$C$31)*Efficiency</f>
        <v>2213.75</v>
      </c>
      <c r="C25" s="309"/>
      <c r="D25" s="310"/>
      <c r="F25" t="s">
        <v>199</v>
      </c>
      <c r="G25" s="282">
        <f>G19*Shoulder</f>
        <v>21628.75</v>
      </c>
      <c r="H25" s="260">
        <f>G25*$B$18</f>
        <v>874.88293750000003</v>
      </c>
      <c r="K25" t="s">
        <v>199</v>
      </c>
      <c r="L25" s="282">
        <f>B55</f>
        <v>19818.922018348618</v>
      </c>
      <c r="M25" s="260">
        <f>L25*B18</f>
        <v>801.67539564220158</v>
      </c>
    </row>
    <row r="26" spans="1:14">
      <c r="A26" s="178" t="s">
        <v>187</v>
      </c>
      <c r="B26" s="313">
        <f>B25*Weekend</f>
        <v>0</v>
      </c>
      <c r="C26" s="309"/>
      <c r="D26" s="310"/>
      <c r="F26" s="222" t="s">
        <v>165</v>
      </c>
      <c r="G26" s="222"/>
      <c r="H26" s="222">
        <f>SUM(H22:H25)</f>
        <v>2465.6253875000002</v>
      </c>
      <c r="I26" t="str">
        <f>"x "&amp;Months-7&amp;" months"</f>
        <v>x 2 months</v>
      </c>
      <c r="K26" s="222" t="s">
        <v>165</v>
      </c>
      <c r="L26" s="222"/>
      <c r="M26" s="222">
        <f>SUM(M22:M25)</f>
        <v>1309.0417646788987</v>
      </c>
      <c r="N26" t="str">
        <f>"x "&amp;Months-7&amp;" months"</f>
        <v>x 2 months</v>
      </c>
    </row>
    <row r="27" spans="1:14">
      <c r="A27" s="178" t="s">
        <v>311</v>
      </c>
      <c r="B27" s="313">
        <f>22*SUM('IceBank Account'!C23:$C$25)*Efficiency</f>
        <v>5445</v>
      </c>
      <c r="C27" s="317" t="s">
        <v>326</v>
      </c>
      <c r="D27" s="310"/>
    </row>
    <row r="28" spans="1:14">
      <c r="A28" s="178" t="s">
        <v>313</v>
      </c>
      <c r="B28" s="313">
        <f>B29-B27</f>
        <v>43257.5</v>
      </c>
      <c r="C28" s="309"/>
      <c r="D28" s="310"/>
      <c r="F28" s="260" t="s">
        <v>169</v>
      </c>
      <c r="G28" s="260"/>
      <c r="H28" s="260">
        <f>(H14*4)+(H20*3)+(H26*(Months-7))</f>
        <v>42325.662499999999</v>
      </c>
      <c r="K28" s="260" t="s">
        <v>169</v>
      </c>
      <c r="L28" s="260"/>
      <c r="M28" s="260">
        <f>M14*4+M20*3+(M26*(Months-7))</f>
        <v>31355.169144223899</v>
      </c>
    </row>
    <row r="29" spans="1:14">
      <c r="A29" s="178" t="s">
        <v>175</v>
      </c>
      <c r="B29" s="313">
        <f>(22*B25)+(8*B26)</f>
        <v>48702.5</v>
      </c>
      <c r="C29" s="317" t="s">
        <v>295</v>
      </c>
      <c r="D29" s="310"/>
      <c r="F29" s="222" t="s">
        <v>214</v>
      </c>
      <c r="G29" s="222"/>
      <c r="H29" s="222">
        <f>H28*(1+Tax)</f>
        <v>45711.715499999998</v>
      </c>
      <c r="K29" s="222" t="s">
        <v>214</v>
      </c>
      <c r="L29" s="222"/>
      <c r="M29" s="222">
        <f>M28*(1+Tax)</f>
        <v>33863.582675761812</v>
      </c>
    </row>
    <row r="30" spans="1:14">
      <c r="A30" s="314" t="s">
        <v>206</v>
      </c>
      <c r="B30" s="315"/>
      <c r="C30" s="315"/>
      <c r="D30" s="316"/>
    </row>
    <row r="31" spans="1:14" ht="15" thickBot="1">
      <c r="A31" s="178" t="s">
        <v>309</v>
      </c>
      <c r="B31" s="311">
        <f>AVERAGE('Cover Page'!$I$117:$I$140)</f>
        <v>97.63426987767582</v>
      </c>
      <c r="C31" s="309"/>
      <c r="D31" s="310"/>
    </row>
    <row r="32" spans="1:14" ht="15.5">
      <c r="A32" s="178" t="s">
        <v>264</v>
      </c>
      <c r="B32" s="311">
        <f>MAX('Cover Page'!$I$132:$I$134)</f>
        <v>143.75</v>
      </c>
      <c r="C32" s="317" t="s">
        <v>326</v>
      </c>
      <c r="D32" s="310"/>
      <c r="F32" s="261" t="s">
        <v>170</v>
      </c>
      <c r="G32" s="262"/>
    </row>
    <row r="33" spans="1:7" ht="15.5">
      <c r="A33" s="178" t="s">
        <v>200</v>
      </c>
      <c r="B33" s="313">
        <f>SUM('Cover Page'!$I$132:$I$134)</f>
        <v>258.75</v>
      </c>
      <c r="C33" s="317" t="s">
        <v>326</v>
      </c>
      <c r="D33" s="310"/>
      <c r="F33" s="263" t="s">
        <v>166</v>
      </c>
      <c r="G33" s="264">
        <f>H29</f>
        <v>45711.715499999998</v>
      </c>
    </row>
    <row r="34" spans="1:7" ht="16" thickBot="1">
      <c r="A34" s="178" t="s">
        <v>201</v>
      </c>
      <c r="B34" s="313">
        <f>'Cover Page'!$I$142-B33</f>
        <v>2084.4724770642197</v>
      </c>
      <c r="C34" s="309"/>
      <c r="D34" s="310"/>
      <c r="F34" s="265" t="s">
        <v>171</v>
      </c>
      <c r="G34" s="266">
        <f>M29</f>
        <v>33863.582675761812</v>
      </c>
    </row>
    <row r="35" spans="1:7" ht="16" thickTop="1">
      <c r="A35" s="178" t="s">
        <v>187</v>
      </c>
      <c r="B35" s="313">
        <f>(B33+B34)*Weekend</f>
        <v>0</v>
      </c>
      <c r="C35" s="309"/>
      <c r="D35" s="310"/>
      <c r="F35" s="267" t="s">
        <v>172</v>
      </c>
      <c r="G35" s="268">
        <f>G33-G34</f>
        <v>11848.132824238186</v>
      </c>
    </row>
    <row r="36" spans="1:7" ht="16" thickBot="1">
      <c r="A36" s="178" t="s">
        <v>311</v>
      </c>
      <c r="B36" s="313">
        <f>B33*22</f>
        <v>5692.5</v>
      </c>
      <c r="C36" s="317" t="s">
        <v>326</v>
      </c>
      <c r="D36" s="310"/>
      <c r="F36" s="269" t="s">
        <v>173</v>
      </c>
      <c r="G36" s="270">
        <f>G35/G33</f>
        <v>0.25919247822231012</v>
      </c>
    </row>
    <row r="37" spans="1:7">
      <c r="A37" s="178" t="s">
        <v>313</v>
      </c>
      <c r="B37" s="313">
        <f>(22*B34)+(8*B35)</f>
        <v>45858.394495412831</v>
      </c>
      <c r="C37" s="309"/>
      <c r="D37" s="310"/>
    </row>
    <row r="38" spans="1:7">
      <c r="A38" s="318" t="s">
        <v>175</v>
      </c>
      <c r="B38" s="319">
        <f>B36+B37</f>
        <v>51550.894495412831</v>
      </c>
      <c r="C38" s="351" t="s">
        <v>295</v>
      </c>
      <c r="D38" s="320"/>
    </row>
    <row r="39" spans="1:7">
      <c r="A39" s="308" t="s">
        <v>335</v>
      </c>
      <c r="B39" s="309"/>
      <c r="C39" s="309"/>
      <c r="D39" s="310"/>
    </row>
    <row r="40" spans="1:7">
      <c r="A40" s="178" t="s">
        <v>167</v>
      </c>
      <c r="B40" s="311">
        <f>AVERAGE('Cover Page'!$I$117:$I$140)</f>
        <v>97.63426987767582</v>
      </c>
      <c r="C40" s="309"/>
      <c r="D40" s="310"/>
    </row>
    <row r="41" spans="1:7">
      <c r="A41" s="178" t="s">
        <v>264</v>
      </c>
      <c r="B41" s="311">
        <f>Shoulder_kW</f>
        <v>133.95945945945945</v>
      </c>
      <c r="C41" s="317" t="s">
        <v>312</v>
      </c>
      <c r="D41" s="310"/>
    </row>
    <row r="42" spans="1:7">
      <c r="A42" s="178" t="s">
        <v>200</v>
      </c>
      <c r="B42" s="313">
        <f>SUM('Cover Page'!$I$129:$I$137)</f>
        <v>769.12844036697243</v>
      </c>
      <c r="C42" s="317" t="s">
        <v>312</v>
      </c>
      <c r="D42" s="310"/>
    </row>
    <row r="43" spans="1:7">
      <c r="A43" s="178" t="s">
        <v>201</v>
      </c>
      <c r="B43" s="313">
        <f>'Cover Page'!$I$142-B42</f>
        <v>1574.0940366972472</v>
      </c>
      <c r="C43" s="309"/>
      <c r="D43" s="310"/>
    </row>
    <row r="44" spans="1:7">
      <c r="A44" s="178" t="s">
        <v>187</v>
      </c>
      <c r="B44" s="313">
        <f>(B42+B43)*Weekend</f>
        <v>0</v>
      </c>
      <c r="C44" s="309"/>
      <c r="D44" s="310"/>
    </row>
    <row r="45" spans="1:7">
      <c r="A45" s="178" t="s">
        <v>311</v>
      </c>
      <c r="B45" s="313">
        <f>B42*22</f>
        <v>16920.825688073393</v>
      </c>
      <c r="C45" s="317" t="s">
        <v>312</v>
      </c>
      <c r="D45" s="310"/>
    </row>
    <row r="46" spans="1:7">
      <c r="A46" s="178" t="s">
        <v>313</v>
      </c>
      <c r="B46" s="313">
        <f>(22*B43)+(8*B44)</f>
        <v>34630.068807339441</v>
      </c>
      <c r="C46" s="309"/>
      <c r="D46" s="310"/>
    </row>
    <row r="47" spans="1:7" ht="15" thickBot="1">
      <c r="A47" s="321" t="s">
        <v>175</v>
      </c>
      <c r="B47" s="319">
        <f>B45+B46</f>
        <v>51550.894495412838</v>
      </c>
      <c r="C47" s="323"/>
      <c r="D47" s="324"/>
    </row>
    <row r="48" spans="1:7">
      <c r="A48" s="308" t="s">
        <v>296</v>
      </c>
      <c r="B48" s="309"/>
      <c r="C48" s="309"/>
      <c r="D48" s="310"/>
    </row>
    <row r="49" spans="1:4">
      <c r="A49" s="178" t="s">
        <v>167</v>
      </c>
      <c r="B49" s="311">
        <f>B40*Shoulder</f>
        <v>48.81713493883791</v>
      </c>
      <c r="C49" s="309"/>
      <c r="D49" s="310"/>
    </row>
    <row r="50" spans="1:4">
      <c r="A50" s="178" t="s">
        <v>264</v>
      </c>
      <c r="B50" s="311">
        <f>MAX('Cover Page'!$I$123:$I$126,'Cover Page'!$I$135:$I$138)*Shoulder</f>
        <v>85.063073394495405</v>
      </c>
      <c r="C50" s="317" t="s">
        <v>327</v>
      </c>
      <c r="D50" s="310"/>
    </row>
    <row r="51" spans="1:4">
      <c r="A51" s="178" t="s">
        <v>200</v>
      </c>
      <c r="B51" s="313">
        <f>SUM('Cover Page'!$I$123:$I$126,'Cover Page'!$I$135:$I$138)*Shoulder</f>
        <v>270.75114678899081</v>
      </c>
      <c r="C51" s="317" t="s">
        <v>327</v>
      </c>
      <c r="D51" s="310"/>
    </row>
    <row r="52" spans="1:4">
      <c r="A52" s="178" t="s">
        <v>201</v>
      </c>
      <c r="B52" s="313">
        <f>('Cover Page'!$I$142*Shoulder)-'GSD-SDTR (Option B)'!B51</f>
        <v>900.86009174311903</v>
      </c>
      <c r="C52" s="309"/>
      <c r="D52" s="310"/>
    </row>
    <row r="53" spans="1:4">
      <c r="A53" s="178" t="s">
        <v>187</v>
      </c>
      <c r="B53" s="313">
        <f>(B51+B52)*Weekend</f>
        <v>0</v>
      </c>
      <c r="C53" s="309"/>
      <c r="D53" s="310"/>
    </row>
    <row r="54" spans="1:4">
      <c r="A54" s="178" t="s">
        <v>311</v>
      </c>
      <c r="B54" s="313">
        <f>B51*22</f>
        <v>5956.5252293577978</v>
      </c>
      <c r="C54" s="317" t="s">
        <v>327</v>
      </c>
      <c r="D54" s="310"/>
    </row>
    <row r="55" spans="1:4">
      <c r="A55" s="178" t="s">
        <v>313</v>
      </c>
      <c r="B55" s="313">
        <f>(22*B52)+(8*B53)</f>
        <v>19818.922018348618</v>
      </c>
      <c r="C55" s="309"/>
      <c r="D55" s="310"/>
    </row>
    <row r="56" spans="1:4" ht="15" thickBot="1">
      <c r="A56" s="321" t="s">
        <v>175</v>
      </c>
      <c r="B56" s="322">
        <f>B54+B55</f>
        <v>25775.447247706416</v>
      </c>
      <c r="C56" s="323"/>
      <c r="D56" s="324"/>
    </row>
    <row r="61" spans="1:4">
      <c r="B61" s="352"/>
    </row>
    <row r="69" spans="1:10">
      <c r="A69" s="176" t="s">
        <v>189</v>
      </c>
      <c r="G69" s="175" t="s">
        <v>203</v>
      </c>
    </row>
    <row r="70" spans="1:10">
      <c r="A70" s="191" t="s">
        <v>188</v>
      </c>
      <c r="B70" s="276">
        <f>IF('[1]IceBank Account'!F4&lt;&gt;"",'[1]IceBank Account'!F4,0)</f>
        <v>676.32850241545884</v>
      </c>
      <c r="C70" s="276">
        <f>IF('[1]IceBank Account'!K4&lt;&gt;"",'[1]IceBank Account'!K4,0)</f>
        <v>0</v>
      </c>
      <c r="D70" s="276">
        <f>IF('[1]IceBank Account'!P4&lt;&gt;"",'[1]IceBank Account'!P4,0)</f>
        <v>100</v>
      </c>
      <c r="E70" s="276">
        <f>IF('[1]IceBank Account'!U4&lt;&gt;"",'[1]IceBank Account'!U4,0)</f>
        <v>0</v>
      </c>
      <c r="G70" t="s">
        <v>207</v>
      </c>
    </row>
    <row r="71" spans="1:10">
      <c r="A71" s="249" t="s">
        <v>10</v>
      </c>
      <c r="B71" s="277" t="s">
        <v>181</v>
      </c>
      <c r="C71" s="277" t="s">
        <v>182</v>
      </c>
      <c r="D71" s="277" t="s">
        <v>183</v>
      </c>
      <c r="E71" s="277" t="s">
        <v>184</v>
      </c>
      <c r="F71" s="294" t="s">
        <v>64</v>
      </c>
      <c r="G71" t="s">
        <v>10</v>
      </c>
      <c r="H71" t="s">
        <v>208</v>
      </c>
      <c r="I71" t="s">
        <v>204</v>
      </c>
      <c r="J71" t="s">
        <v>205</v>
      </c>
    </row>
    <row r="72" spans="1:10">
      <c r="A72">
        <f>1</f>
        <v>1</v>
      </c>
      <c r="B72" s="274">
        <f>IF('[1]IceBank Account'!B8="I",'[1]IceBank Account'!E8*$B$70*[2]Summary!$B$20,'[1]IceBank Account'!J8*[2]Summary!$B$19)</f>
        <v>351.69082125603859</v>
      </c>
      <c r="C72" s="274">
        <f>IF($C$70=0,0,IF('[1]IceBank Account'!B8="I",'[1]IceBank Account'!E8*$B$70*[2]Summary!$B$20,'[1]IceBank Account'!K8*[2]Summary!$B$19))</f>
        <v>0</v>
      </c>
      <c r="D72" s="274">
        <f>'[1]IceBank Account'!$P$4*'[1]IceBank Account'!G8*Efficiency</f>
        <v>110.00000000000001</v>
      </c>
      <c r="E72" s="274">
        <f>'[1]IceBank Account'!$U$4*'[1]IceBank Account'!H8*Efficiency</f>
        <v>0</v>
      </c>
      <c r="F72" s="295">
        <f>SUM(B72:E72)</f>
        <v>461.69082125603859</v>
      </c>
      <c r="G72">
        <v>1</v>
      </c>
      <c r="H72" s="46">
        <f>IF('[1]IceBank Account'!B8="I",'[1]IceBank Account'!E8*$B$70*[2]Summary!$B$20,SUM(B72:E72)*[2]Summary!$B$15*[2]Summary!$B$19)</f>
        <v>351.69082125603859</v>
      </c>
      <c r="I72" s="46">
        <v>0</v>
      </c>
      <c r="J72" s="46">
        <f>IF((H72-I72)&gt;0,H72-I72,0)</f>
        <v>351.69082125603859</v>
      </c>
    </row>
    <row r="73" spans="1:10">
      <c r="A73">
        <f>A72+1</f>
        <v>2</v>
      </c>
      <c r="B73" s="274">
        <f>IF('[1]IceBank Account'!B9="I",'[1]IceBank Account'!E9*$B$70*[2]Summary!$B$20,'[1]IceBank Account'!J9*[2]Summary!$B$19)</f>
        <v>351.69082125603859</v>
      </c>
      <c r="C73" s="274">
        <f>IF($C$70=0,0,IF('[1]IceBank Account'!B9="I",'[1]IceBank Account'!E9*$B$70,'[1]IceBank Account'!K9))</f>
        <v>0</v>
      </c>
      <c r="D73" s="274">
        <f>'[1]IceBank Account'!$P$4*'[1]IceBank Account'!G9*Efficiency</f>
        <v>110.00000000000001</v>
      </c>
      <c r="E73" s="274">
        <f>'[1]IceBank Account'!$U$4*'[1]IceBank Account'!H9*Efficiency</f>
        <v>0</v>
      </c>
      <c r="F73" s="295">
        <f t="shared" ref="F73:F95" si="0">SUM(B73:E73)</f>
        <v>461.69082125603859</v>
      </c>
      <c r="G73">
        <v>2</v>
      </c>
      <c r="H73" s="46">
        <f>IF('[1]IceBank Account'!B9="I",'[1]IceBank Account'!E9*$B$70*[2]Summary!$B$20,SUM(B73:E73)*[2]Summary!$B$15*[2]Summary!$B$19)</f>
        <v>351.69082125603859</v>
      </c>
      <c r="I73" s="46">
        <v>0</v>
      </c>
      <c r="J73" s="46">
        <f t="shared" ref="J73:J95" si="1">IF((H73-I73)&gt;0,H73-I73,0)</f>
        <v>351.69082125603859</v>
      </c>
    </row>
    <row r="74" spans="1:10">
      <c r="A74">
        <f t="shared" ref="A74:A95" si="2">A73+1</f>
        <v>3</v>
      </c>
      <c r="B74" s="274">
        <f>IF('[1]IceBank Account'!B10="I",'[1]IceBank Account'!E10*$B$70*[2]Summary!$B$20,'[1]IceBank Account'!J10*[2]Summary!$B$19)</f>
        <v>351.69082125603859</v>
      </c>
      <c r="C74" s="274">
        <f>IF($C$70=0,0,IF('[1]IceBank Account'!B10="I",'[1]IceBank Account'!E10*$B$70,'[1]IceBank Account'!K10))</f>
        <v>0</v>
      </c>
      <c r="D74" s="274">
        <f>'[1]IceBank Account'!$P$4*'[1]IceBank Account'!G10*Efficiency</f>
        <v>110.00000000000001</v>
      </c>
      <c r="E74" s="274">
        <f>'[1]IceBank Account'!$U$4*'[1]IceBank Account'!H10*Efficiency</f>
        <v>0</v>
      </c>
      <c r="F74" s="295">
        <f t="shared" si="0"/>
        <v>461.69082125603859</v>
      </c>
      <c r="G74">
        <v>3</v>
      </c>
      <c r="H74" s="46">
        <f>IF('[1]IceBank Account'!B10="I",'[1]IceBank Account'!E10*$B$70*[2]Summary!$B$20,SUM(B74:E74)*[2]Summary!$B$15*[2]Summary!$B$19)</f>
        <v>351.69082125603859</v>
      </c>
      <c r="I74" s="46">
        <v>0</v>
      </c>
      <c r="J74" s="46">
        <f t="shared" si="1"/>
        <v>351.69082125603859</v>
      </c>
    </row>
    <row r="75" spans="1:10">
      <c r="A75">
        <f t="shared" si="2"/>
        <v>4</v>
      </c>
      <c r="B75" s="274">
        <f>IF('[1]IceBank Account'!B11="I",'[1]IceBank Account'!E11*$B$70*[2]Summary!$B$20,'[1]IceBank Account'!J11*[2]Summary!$B$19)</f>
        <v>351.69082125603859</v>
      </c>
      <c r="C75" s="274">
        <f>IF($C$70=0,0,IF('[1]IceBank Account'!B11="I",'[1]IceBank Account'!E11*$B$70,'[1]IceBank Account'!K11))</f>
        <v>0</v>
      </c>
      <c r="D75" s="274">
        <f>'[1]IceBank Account'!$P$4*'[1]IceBank Account'!G11*Efficiency</f>
        <v>110.00000000000001</v>
      </c>
      <c r="E75" s="274">
        <f>'[1]IceBank Account'!$U$4*'[1]IceBank Account'!H11*Efficiency</f>
        <v>0</v>
      </c>
      <c r="F75" s="295">
        <f t="shared" si="0"/>
        <v>461.69082125603859</v>
      </c>
      <c r="G75">
        <v>4</v>
      </c>
      <c r="H75" s="46">
        <f>IF('[1]IceBank Account'!B11="I",'[1]IceBank Account'!E11*$B$70*[2]Summary!$B$20,SUM(B75:E75)*[2]Summary!$B$15*[2]Summary!$B$19)</f>
        <v>351.69082125603859</v>
      </c>
      <c r="I75" s="46">
        <v>0</v>
      </c>
      <c r="J75" s="46">
        <f t="shared" si="1"/>
        <v>351.69082125603859</v>
      </c>
    </row>
    <row r="76" spans="1:10">
      <c r="A76">
        <f t="shared" si="2"/>
        <v>5</v>
      </c>
      <c r="B76" s="274">
        <f>IF('[1]IceBank Account'!B12="I",'[1]IceBank Account'!E12*$B$70*[2]Summary!$B$20,'[1]IceBank Account'!J12*[2]Summary!$B$19)</f>
        <v>351.69082125603859</v>
      </c>
      <c r="C76" s="274">
        <f>IF($C$70=0,0,IF('[1]IceBank Account'!B12="I",'[1]IceBank Account'!E12*$B$70,'[1]IceBank Account'!K12))</f>
        <v>0</v>
      </c>
      <c r="D76" s="274">
        <f>'[1]IceBank Account'!$P$4*'[1]IceBank Account'!G12*Efficiency</f>
        <v>110.00000000000001</v>
      </c>
      <c r="E76" s="274">
        <f>'[1]IceBank Account'!$U$4*'[1]IceBank Account'!H12*Efficiency</f>
        <v>0</v>
      </c>
      <c r="F76" s="295">
        <f t="shared" si="0"/>
        <v>461.69082125603859</v>
      </c>
      <c r="G76">
        <v>5</v>
      </c>
      <c r="H76" s="46">
        <f>IF('[1]IceBank Account'!B12="I",'[1]IceBank Account'!E12*$B$70*[2]Summary!$B$20,SUM(B76:E76)*[2]Summary!$B$15*[2]Summary!$B$19)</f>
        <v>351.69082125603859</v>
      </c>
      <c r="I76" s="46">
        <v>0</v>
      </c>
      <c r="J76" s="46">
        <f t="shared" si="1"/>
        <v>351.69082125603859</v>
      </c>
    </row>
    <row r="77" spans="1:10">
      <c r="A77">
        <f t="shared" si="2"/>
        <v>6</v>
      </c>
      <c r="B77" s="274">
        <f>IF('[1]IceBank Account'!B13="I",'[1]IceBank Account'!E13*$B$70*[2]Summary!$B$20,'[1]IceBank Account'!J13*[2]Summary!$B$19)</f>
        <v>351.69082125603859</v>
      </c>
      <c r="C77" s="274">
        <f>IF($C$70=0,0,IF('[1]IceBank Account'!B13="I",'[1]IceBank Account'!E13*$B$70,'[1]IceBank Account'!K13))</f>
        <v>0</v>
      </c>
      <c r="D77" s="274">
        <f>'[1]IceBank Account'!$P$4*'[1]IceBank Account'!G13*Efficiency</f>
        <v>110.00000000000001</v>
      </c>
      <c r="E77" s="274">
        <f>'[1]IceBank Account'!$U$4*'[1]IceBank Account'!H13*Efficiency</f>
        <v>0</v>
      </c>
      <c r="F77" s="295">
        <f t="shared" si="0"/>
        <v>461.69082125603859</v>
      </c>
      <c r="G77">
        <v>6</v>
      </c>
      <c r="H77" s="46">
        <f>IF('[1]IceBank Account'!B13="I",'[1]IceBank Account'!E13*$B$70*[2]Summary!$B$20,SUM(B77:E77)*[2]Summary!$B$15*[2]Summary!$B$19)</f>
        <v>351.69082125603859</v>
      </c>
      <c r="I77" s="46">
        <v>0</v>
      </c>
      <c r="J77" s="46">
        <f t="shared" si="1"/>
        <v>351.69082125603859</v>
      </c>
    </row>
    <row r="78" spans="1:10">
      <c r="A78">
        <f t="shared" si="2"/>
        <v>7</v>
      </c>
      <c r="B78" s="274">
        <f>IF('[1]IceBank Account'!B14="I",'[1]IceBank Account'!E14*$B$70*[2]Summary!$B$20,'[1]IceBank Account'!J14*[2]Summary!$B$19)</f>
        <v>80</v>
      </c>
      <c r="C78" s="274">
        <f>IF($C$70=0,0,IF('[1]IceBank Account'!B14="I",'[1]IceBank Account'!E14*$B$70,'[1]IceBank Account'!K14))</f>
        <v>0</v>
      </c>
      <c r="D78" s="274">
        <f>'[1]IceBank Account'!$P$4*'[1]IceBank Account'!G14*Efficiency</f>
        <v>110.00000000000001</v>
      </c>
      <c r="E78" s="274">
        <f>'[1]IceBank Account'!$U$4*'[1]IceBank Account'!H14*Efficiency</f>
        <v>0</v>
      </c>
      <c r="F78" s="295">
        <f t="shared" si="0"/>
        <v>190</v>
      </c>
      <c r="G78" s="286">
        <v>7</v>
      </c>
      <c r="H78" s="287">
        <f>IF('[1]IceBank Account'!B14="I",'[1]IceBank Account'!E14*$B$70*[2]Summary!$B$20,SUM(B78:E78)*[2]Summary!$B$15*[2]Summary!$B$19)</f>
        <v>30.400000000000002</v>
      </c>
      <c r="I78" s="287">
        <f>H78</f>
        <v>30.400000000000002</v>
      </c>
      <c r="J78" s="287">
        <f t="shared" si="1"/>
        <v>0</v>
      </c>
    </row>
    <row r="79" spans="1:10">
      <c r="A79">
        <f t="shared" si="2"/>
        <v>8</v>
      </c>
      <c r="B79" s="274">
        <f>IF('[1]IceBank Account'!B15="I",'[1]IceBank Account'!E15*$B$70*[2]Summary!$B$20,'[1]IceBank Account'!J15*[2]Summary!$B$19)</f>
        <v>160</v>
      </c>
      <c r="C79" s="274">
        <f>IF($C$70=0,0,IF('[1]IceBank Account'!B15="I",'[1]IceBank Account'!E15*$B$70,'[1]IceBank Account'!K15))</f>
        <v>0</v>
      </c>
      <c r="D79" s="274">
        <f>'[1]IceBank Account'!$P$4*'[1]IceBank Account'!G15*Efficiency</f>
        <v>110.00000000000001</v>
      </c>
      <c r="E79" s="274">
        <f>'[1]IceBank Account'!$U$4*'[1]IceBank Account'!H15*Efficiency</f>
        <v>0</v>
      </c>
      <c r="F79" s="295">
        <f t="shared" si="0"/>
        <v>270</v>
      </c>
      <c r="G79" s="286">
        <v>8</v>
      </c>
      <c r="H79" s="287">
        <f>IF('[1]IceBank Account'!B15="I",'[1]IceBank Account'!E15*$B$70*[2]Summary!$B$20,SUM(B79:E79)*[2]Summary!$B$15*[2]Summary!$B$19)</f>
        <v>43.2</v>
      </c>
      <c r="I79" s="287">
        <f t="shared" ref="I79:I81" si="3">H79</f>
        <v>43.2</v>
      </c>
      <c r="J79" s="287">
        <f t="shared" si="1"/>
        <v>0</v>
      </c>
    </row>
    <row r="80" spans="1:10">
      <c r="A80">
        <f t="shared" si="2"/>
        <v>9</v>
      </c>
      <c r="B80" s="274">
        <f>IF('[1]IceBank Account'!B16="I",'[1]IceBank Account'!E16*$B$70*[2]Summary!$B$20,'[1]IceBank Account'!J16*[2]Summary!$B$19)</f>
        <v>240</v>
      </c>
      <c r="C80" s="274">
        <f>IF($C$70=0,0,IF('[1]IceBank Account'!B16="I",'[1]IceBank Account'!E16*$B$70,'[1]IceBank Account'!K16))</f>
        <v>0</v>
      </c>
      <c r="D80" s="274">
        <f>'[1]IceBank Account'!$P$4*'[1]IceBank Account'!G16*Efficiency</f>
        <v>110.00000000000001</v>
      </c>
      <c r="E80" s="274">
        <f>'[1]IceBank Account'!$U$4*'[1]IceBank Account'!H16*Efficiency</f>
        <v>0</v>
      </c>
      <c r="F80" s="295">
        <f t="shared" si="0"/>
        <v>350</v>
      </c>
      <c r="G80" s="286">
        <v>9</v>
      </c>
      <c r="H80" s="287">
        <f>IF('[1]IceBank Account'!B16="I",'[1]IceBank Account'!E16*$B$70*[2]Summary!$B$20,SUM(B80:E80)*[2]Summary!$B$15*[2]Summary!$B$19)</f>
        <v>56</v>
      </c>
      <c r="I80" s="287">
        <f t="shared" si="3"/>
        <v>56</v>
      </c>
      <c r="J80" s="287">
        <f t="shared" si="1"/>
        <v>0</v>
      </c>
    </row>
    <row r="81" spans="1:10">
      <c r="A81">
        <f t="shared" si="2"/>
        <v>10</v>
      </c>
      <c r="B81" s="274">
        <f>IF('[1]IceBank Account'!B17="I",'[1]IceBank Account'!E17*$B$70*[2]Summary!$B$20,'[1]IceBank Account'!J17*[2]Summary!$B$19)</f>
        <v>320</v>
      </c>
      <c r="C81" s="274">
        <f>IF($C$70=0,0,IF('[1]IceBank Account'!B17="I",'[1]IceBank Account'!E17*$B$70,'[1]IceBank Account'!K17))</f>
        <v>0</v>
      </c>
      <c r="D81" s="274">
        <f>'[1]IceBank Account'!$P$4*'[1]IceBank Account'!G17*Efficiency</f>
        <v>110.00000000000001</v>
      </c>
      <c r="E81" s="274">
        <f>'[1]IceBank Account'!$U$4*'[1]IceBank Account'!H17*Efficiency</f>
        <v>0</v>
      </c>
      <c r="F81" s="295">
        <f t="shared" si="0"/>
        <v>430</v>
      </c>
      <c r="G81" s="286">
        <v>10</v>
      </c>
      <c r="H81" s="287">
        <f>IF('[1]IceBank Account'!B17="I",'[1]IceBank Account'!E17*$B$70*[2]Summary!$B$20,SUM(B81:E81)*[2]Summary!$B$15*[2]Summary!$B$19)</f>
        <v>68.8</v>
      </c>
      <c r="I81" s="287">
        <f t="shared" si="3"/>
        <v>68.8</v>
      </c>
      <c r="J81" s="287">
        <f t="shared" si="1"/>
        <v>0</v>
      </c>
    </row>
    <row r="82" spans="1:10">
      <c r="A82">
        <f t="shared" si="2"/>
        <v>11</v>
      </c>
      <c r="B82" s="274">
        <f>IF('[1]IceBank Account'!B18="I",'[1]IceBank Account'!E18*$B$70*[2]Summary!$B$20,'[1]IceBank Account'!J18*[2]Summary!$B$19)</f>
        <v>486.95652173913044</v>
      </c>
      <c r="C82" s="274">
        <f>IF($C$70=0,0,IF('[1]IceBank Account'!B18="I",'[1]IceBank Account'!E18*$B$70,'[1]IceBank Account'!K18))</f>
        <v>0</v>
      </c>
      <c r="D82" s="274">
        <f>'[1]IceBank Account'!$P$4*'[1]IceBank Account'!G18*Efficiency</f>
        <v>110.00000000000001</v>
      </c>
      <c r="E82" s="274">
        <f>'[1]IceBank Account'!$U$4*'[1]IceBank Account'!H18*Efficiency</f>
        <v>0</v>
      </c>
      <c r="F82" s="295">
        <f t="shared" si="0"/>
        <v>596.95652173913049</v>
      </c>
      <c r="G82">
        <v>11</v>
      </c>
      <c r="H82" s="46">
        <f>IF('[1]IceBank Account'!B18="I",'[1]IceBank Account'!E18*$B$70*[2]Summary!$B$20,SUM(B82:E82)*[2]Summary!$B$15*[2]Summary!$B$19)</f>
        <v>95.513043478260897</v>
      </c>
      <c r="I82" s="288">
        <f t="shared" ref="I82:I89" si="4">($I$98-SUM($I$78:$I$81,$I$90:$I$93))/8</f>
        <v>296.29082125603861</v>
      </c>
      <c r="J82" s="46">
        <f t="shared" si="1"/>
        <v>0</v>
      </c>
    </row>
    <row r="83" spans="1:10">
      <c r="A83">
        <f t="shared" si="2"/>
        <v>12</v>
      </c>
      <c r="B83" s="274">
        <f>IF('[1]IceBank Account'!B19="I",'[1]IceBank Account'!E19*$B$70*[2]Summary!$B$20,'[1]IceBank Account'!J19*[2]Summary!$B$19)</f>
        <v>486.95652173913044</v>
      </c>
      <c r="C83" s="274">
        <f>IF($C$70=0,0,IF('[1]IceBank Account'!B19="I",'[1]IceBank Account'!E19*$B$70,'[1]IceBank Account'!K19))</f>
        <v>0</v>
      </c>
      <c r="D83" s="274">
        <f>'[1]IceBank Account'!$P$4*'[1]IceBank Account'!G19*Efficiency</f>
        <v>110.00000000000001</v>
      </c>
      <c r="E83" s="274">
        <f>'[1]IceBank Account'!$U$4*'[1]IceBank Account'!H19*Efficiency</f>
        <v>0</v>
      </c>
      <c r="F83" s="295">
        <f t="shared" si="0"/>
        <v>596.95652173913049</v>
      </c>
      <c r="G83">
        <v>12</v>
      </c>
      <c r="H83" s="46">
        <f>IF('[1]IceBank Account'!B19="I",'[1]IceBank Account'!E19*$B$70*[2]Summary!$B$20,SUM(B83:E83)*[2]Summary!$B$15*[2]Summary!$B$19)</f>
        <v>95.513043478260897</v>
      </c>
      <c r="I83" s="288">
        <f t="shared" si="4"/>
        <v>296.29082125603861</v>
      </c>
      <c r="J83" s="46">
        <f t="shared" si="1"/>
        <v>0</v>
      </c>
    </row>
    <row r="84" spans="1:10">
      <c r="A84">
        <f t="shared" si="2"/>
        <v>13</v>
      </c>
      <c r="B84" s="274">
        <f>IF('[1]IceBank Account'!B20="I",'[1]IceBank Account'!E20*$B$70*[2]Summary!$B$20,'[1]IceBank Account'!J20*[2]Summary!$B$19)</f>
        <v>486.95652173913044</v>
      </c>
      <c r="C84" s="274">
        <f>IF($C$70=0,0,IF('[1]IceBank Account'!B20="I",'[1]IceBank Account'!E20*$B$70,'[1]IceBank Account'!K20))</f>
        <v>0</v>
      </c>
      <c r="D84" s="274">
        <f>'[1]IceBank Account'!$P$4*'[1]IceBank Account'!G20*Efficiency</f>
        <v>110.00000000000001</v>
      </c>
      <c r="E84" s="274">
        <f>'[1]IceBank Account'!$U$4*'[1]IceBank Account'!H20*Efficiency</f>
        <v>0</v>
      </c>
      <c r="F84" s="295">
        <f t="shared" si="0"/>
        <v>596.95652173913049</v>
      </c>
      <c r="G84">
        <v>13</v>
      </c>
      <c r="H84" s="46">
        <f>IF('[1]IceBank Account'!B20="I",'[1]IceBank Account'!E20*$B$70*[2]Summary!$B$20,SUM(B84:E84)*[2]Summary!$B$15*[2]Summary!$B$19)</f>
        <v>95.513043478260897</v>
      </c>
      <c r="I84" s="288">
        <f t="shared" si="4"/>
        <v>296.29082125603861</v>
      </c>
      <c r="J84" s="46">
        <f t="shared" si="1"/>
        <v>0</v>
      </c>
    </row>
    <row r="85" spans="1:10">
      <c r="A85">
        <f t="shared" si="2"/>
        <v>14</v>
      </c>
      <c r="B85" s="274">
        <f>IF('[1]IceBank Account'!B21="I",'[1]IceBank Account'!E21*$B$70*[2]Summary!$B$20,'[1]IceBank Account'!J21*[2]Summary!$B$19)</f>
        <v>486.95652173913044</v>
      </c>
      <c r="C85" s="274">
        <f>IF($C$70=0,0,IF('[1]IceBank Account'!B21="I",'[1]IceBank Account'!E21*$B$70,'[1]IceBank Account'!K21))</f>
        <v>0</v>
      </c>
      <c r="D85" s="274">
        <f>'[1]IceBank Account'!$P$4*'[1]IceBank Account'!G21*Efficiency</f>
        <v>110.00000000000001</v>
      </c>
      <c r="E85" s="274">
        <f>'[1]IceBank Account'!$U$4*'[1]IceBank Account'!H21*Efficiency</f>
        <v>0</v>
      </c>
      <c r="F85" s="295">
        <f t="shared" si="0"/>
        <v>596.95652173913049</v>
      </c>
      <c r="G85">
        <v>14</v>
      </c>
      <c r="H85" s="46">
        <f>IF('[1]IceBank Account'!B21="I",'[1]IceBank Account'!E21*$B$70*[2]Summary!$B$20,SUM(B85:E85)*[2]Summary!$B$15*[2]Summary!$B$19)</f>
        <v>95.513043478260897</v>
      </c>
      <c r="I85" s="288">
        <f t="shared" si="4"/>
        <v>296.29082125603861</v>
      </c>
      <c r="J85" s="46">
        <f t="shared" si="1"/>
        <v>0</v>
      </c>
    </row>
    <row r="86" spans="1:10">
      <c r="A86">
        <f t="shared" si="2"/>
        <v>15</v>
      </c>
      <c r="B86" s="274">
        <f>IF('[1]IceBank Account'!B22="I",'[1]IceBank Account'!E22*$B$70*[2]Summary!$B$20,'[1]IceBank Account'!J22*[2]Summary!$B$19)</f>
        <v>486.95652173913044</v>
      </c>
      <c r="C86" s="274">
        <f>IF($C$70=0,0,IF('[1]IceBank Account'!B22="I",'[1]IceBank Account'!E22*$B$70,'[1]IceBank Account'!K22))</f>
        <v>0</v>
      </c>
      <c r="D86" s="274">
        <f>'[1]IceBank Account'!$P$4*'[1]IceBank Account'!G22*Efficiency</f>
        <v>110.00000000000001</v>
      </c>
      <c r="E86" s="274">
        <f>'[1]IceBank Account'!$U$4*'[1]IceBank Account'!H22*Efficiency</f>
        <v>0</v>
      </c>
      <c r="F86" s="295">
        <f t="shared" si="0"/>
        <v>596.95652173913049</v>
      </c>
      <c r="G86">
        <v>15</v>
      </c>
      <c r="H86" s="46">
        <f>IF('[1]IceBank Account'!B22="I",'[1]IceBank Account'!E22*$B$70*[2]Summary!$B$20,SUM(B86:E86)*[2]Summary!$B$15*[2]Summary!$B$19)</f>
        <v>95.513043478260897</v>
      </c>
      <c r="I86" s="288">
        <f t="shared" si="4"/>
        <v>296.29082125603861</v>
      </c>
      <c r="J86" s="46">
        <f t="shared" si="1"/>
        <v>0</v>
      </c>
    </row>
    <row r="87" spans="1:10">
      <c r="A87">
        <f t="shared" si="2"/>
        <v>16</v>
      </c>
      <c r="B87" s="274">
        <f>IF('[1]IceBank Account'!B23="I",'[1]IceBank Account'!E23*$B$70*[2]Summary!$B$20,'[1]IceBank Account'!J23*[2]Summary!$B$19)</f>
        <v>0</v>
      </c>
      <c r="C87" s="274">
        <f>IF($C$70=0,0,IF('[1]IceBank Account'!B23="I",'[1]IceBank Account'!E23*$B$70,'[1]IceBank Account'!K23))</f>
        <v>0</v>
      </c>
      <c r="D87" s="274">
        <f>'[1]IceBank Account'!$P$4*'[1]IceBank Account'!G23*Efficiency</f>
        <v>0</v>
      </c>
      <c r="E87" s="274">
        <f>'[1]IceBank Account'!$U$4*'[1]IceBank Account'!H23*Efficiency</f>
        <v>0</v>
      </c>
      <c r="F87" s="295">
        <f t="shared" si="0"/>
        <v>0</v>
      </c>
      <c r="G87">
        <v>16</v>
      </c>
      <c r="H87" s="46">
        <f>IF('[1]IceBank Account'!B23="I",'[1]IceBank Account'!E23*$B$70*[2]Summary!$B$20,SUM(B87:E87)*[2]Summary!$B$15*[2]Summary!$B$19)</f>
        <v>0</v>
      </c>
      <c r="I87" s="288">
        <f t="shared" si="4"/>
        <v>296.29082125603861</v>
      </c>
      <c r="J87" s="46">
        <f t="shared" si="1"/>
        <v>0</v>
      </c>
    </row>
    <row r="88" spans="1:10">
      <c r="A88">
        <f t="shared" si="2"/>
        <v>17</v>
      </c>
      <c r="B88" s="274">
        <f>IF('[1]IceBank Account'!B24="I",'[1]IceBank Account'!E24*$B$70*[2]Summary!$B$20,'[1]IceBank Account'!J24*[2]Summary!$B$19)</f>
        <v>0</v>
      </c>
      <c r="C88" s="274">
        <f>IF($C$70=0,0,IF('[1]IceBank Account'!B24="I",'[1]IceBank Account'!E24*$B$70,'[1]IceBank Account'!K24))</f>
        <v>0</v>
      </c>
      <c r="D88" s="274">
        <f>'[1]IceBank Account'!$P$4*'[1]IceBank Account'!G24*Efficiency</f>
        <v>0</v>
      </c>
      <c r="E88" s="274">
        <f>'[1]IceBank Account'!$U$4*'[1]IceBank Account'!H24*Efficiency</f>
        <v>0</v>
      </c>
      <c r="F88" s="295">
        <f t="shared" si="0"/>
        <v>0</v>
      </c>
      <c r="G88">
        <v>17</v>
      </c>
      <c r="H88" s="46">
        <f>IF('[1]IceBank Account'!B24="I",'[1]IceBank Account'!E24*$B$70*[2]Summary!$B$20,SUM(B88:E88)*[2]Summary!$B$15*[2]Summary!$B$19)</f>
        <v>0</v>
      </c>
      <c r="I88" s="288">
        <f t="shared" si="4"/>
        <v>296.29082125603861</v>
      </c>
      <c r="J88" s="46">
        <f t="shared" si="1"/>
        <v>0</v>
      </c>
    </row>
    <row r="89" spans="1:10">
      <c r="A89">
        <f t="shared" si="2"/>
        <v>18</v>
      </c>
      <c r="B89" s="274">
        <f>IF('[1]IceBank Account'!B25="I",'[1]IceBank Account'!E25*$B$70*[2]Summary!$B$20,'[1]IceBank Account'!J25*[2]Summary!$B$19)</f>
        <v>0</v>
      </c>
      <c r="C89" s="274">
        <f>IF($C$70=0,0,IF('[1]IceBank Account'!B25="I",'[1]IceBank Account'!E25*$B$70,'[1]IceBank Account'!K25))</f>
        <v>0</v>
      </c>
      <c r="D89" s="274">
        <f>'[1]IceBank Account'!$P$4*'[1]IceBank Account'!G25*Efficiency</f>
        <v>0</v>
      </c>
      <c r="E89" s="274">
        <f>'[1]IceBank Account'!$U$4*'[1]IceBank Account'!H25*Efficiency</f>
        <v>0</v>
      </c>
      <c r="F89" s="295">
        <f t="shared" si="0"/>
        <v>0</v>
      </c>
      <c r="G89">
        <v>18</v>
      </c>
      <c r="H89" s="46">
        <f>IF('[1]IceBank Account'!B25="I",'[1]IceBank Account'!E25*$B$70*[2]Summary!$B$20,SUM(B89:E89)*[2]Summary!$B$15*[2]Summary!$B$19)</f>
        <v>0</v>
      </c>
      <c r="I89" s="288">
        <f t="shared" si="4"/>
        <v>296.29082125603861</v>
      </c>
      <c r="J89" s="46">
        <f t="shared" si="1"/>
        <v>0</v>
      </c>
    </row>
    <row r="90" spans="1:10">
      <c r="A90">
        <f t="shared" si="2"/>
        <v>19</v>
      </c>
      <c r="B90" s="274">
        <f>IF('[1]IceBank Account'!B26="I",'[1]IceBank Account'!E26*$B$70*[2]Summary!$B$20,'[1]IceBank Account'!J26*[2]Summary!$B$19)</f>
        <v>400</v>
      </c>
      <c r="C90" s="274">
        <f>IF($C$70=0,0,IF('[1]IceBank Account'!B26="I",'[1]IceBank Account'!E26*$B$70,'[1]IceBank Account'!K26))</f>
        <v>0</v>
      </c>
      <c r="D90" s="274">
        <f>'[1]IceBank Account'!$P$4*'[1]IceBank Account'!G26*Efficiency</f>
        <v>110.00000000000001</v>
      </c>
      <c r="E90" s="274">
        <f>'[1]IceBank Account'!$U$4*'[1]IceBank Account'!H26*Efficiency</f>
        <v>0</v>
      </c>
      <c r="F90" s="295">
        <f t="shared" si="0"/>
        <v>510</v>
      </c>
      <c r="G90" s="286">
        <v>19</v>
      </c>
      <c r="H90" s="287">
        <f>IF('[1]IceBank Account'!B26="I",'[1]IceBank Account'!E26*$B$70*[2]Summary!$B$20,SUM(B90:E90)*[2]Summary!$B$15*[2]Summary!$B$19)</f>
        <v>81.600000000000009</v>
      </c>
      <c r="I90" s="287">
        <f>H90</f>
        <v>81.600000000000009</v>
      </c>
      <c r="J90" s="287">
        <f t="shared" si="1"/>
        <v>0</v>
      </c>
    </row>
    <row r="91" spans="1:10">
      <c r="A91">
        <f t="shared" si="2"/>
        <v>20</v>
      </c>
      <c r="B91" s="274">
        <f>IF('[1]IceBank Account'!B27="I",'[1]IceBank Account'!E27*$B$70*[2]Summary!$B$20,'[1]IceBank Account'!J27*[2]Summary!$B$19)</f>
        <v>400</v>
      </c>
      <c r="C91" s="274">
        <f>IF($C$70=0,0,IF('[1]IceBank Account'!B27="I",'[1]IceBank Account'!E27*$B$70,'[1]IceBank Account'!K27))</f>
        <v>0</v>
      </c>
      <c r="D91" s="274">
        <f>'[1]IceBank Account'!$P$4*'[1]IceBank Account'!G27*Efficiency</f>
        <v>110.00000000000001</v>
      </c>
      <c r="E91" s="274">
        <f>'[1]IceBank Account'!$U$4*'[1]IceBank Account'!H27*Efficiency</f>
        <v>0</v>
      </c>
      <c r="F91" s="295">
        <f t="shared" si="0"/>
        <v>510</v>
      </c>
      <c r="G91" s="286">
        <v>20</v>
      </c>
      <c r="H91" s="287">
        <f>IF('[1]IceBank Account'!B27="I",'[1]IceBank Account'!E27*$B$70*[2]Summary!$B$20,SUM(B91:E91)*[2]Summary!$B$15*[2]Summary!$B$19)</f>
        <v>81.600000000000009</v>
      </c>
      <c r="I91" s="287">
        <f t="shared" ref="I91:I93" si="5">H91</f>
        <v>81.600000000000009</v>
      </c>
      <c r="J91" s="287">
        <f t="shared" si="1"/>
        <v>0</v>
      </c>
    </row>
    <row r="92" spans="1:10">
      <c r="A92">
        <f t="shared" si="2"/>
        <v>21</v>
      </c>
      <c r="B92" s="274">
        <f>IF('[1]IceBank Account'!B28="I",'[1]IceBank Account'!E28*$B$70*[2]Summary!$B$20,'[1]IceBank Account'!J28*[2]Summary!$B$19)</f>
        <v>400</v>
      </c>
      <c r="C92" s="274">
        <f>IF($C$70=0,0,IF('[1]IceBank Account'!B28="I",'[1]IceBank Account'!E28*$B$70,'[1]IceBank Account'!K28))</f>
        <v>0</v>
      </c>
      <c r="D92" s="274">
        <f>'[1]IceBank Account'!$P$4*'[1]IceBank Account'!G28*Efficiency</f>
        <v>110.00000000000001</v>
      </c>
      <c r="E92" s="274">
        <f>'[1]IceBank Account'!$U$4*'[1]IceBank Account'!H28*Efficiency</f>
        <v>0</v>
      </c>
      <c r="F92" s="295">
        <f t="shared" si="0"/>
        <v>510</v>
      </c>
      <c r="G92" s="286">
        <v>21</v>
      </c>
      <c r="H92" s="287">
        <f>IF('[1]IceBank Account'!B28="I",'[1]IceBank Account'!E28*$B$70*[2]Summary!$B$20,SUM(B92:E92)*[2]Summary!$B$15*[2]Summary!$B$19)</f>
        <v>81.600000000000009</v>
      </c>
      <c r="I92" s="287">
        <f t="shared" si="5"/>
        <v>81.600000000000009</v>
      </c>
      <c r="J92" s="287">
        <f t="shared" si="1"/>
        <v>0</v>
      </c>
    </row>
    <row r="93" spans="1:10">
      <c r="A93">
        <f t="shared" si="2"/>
        <v>22</v>
      </c>
      <c r="B93" s="274">
        <f>IF('[1]IceBank Account'!B29="I",'[1]IceBank Account'!E29*$B$70*[2]Summary!$B$20,'[1]IceBank Account'!J29*[2]Summary!$B$19)</f>
        <v>351.69082125603859</v>
      </c>
      <c r="C93" s="274">
        <f>IF($C$70=0,0,IF('[1]IceBank Account'!B29="I",'[1]IceBank Account'!E29*$B$70,'[1]IceBank Account'!K29))</f>
        <v>0</v>
      </c>
      <c r="D93" s="274">
        <f>'[1]IceBank Account'!$P$4*'[1]IceBank Account'!G29*Efficiency</f>
        <v>110.00000000000001</v>
      </c>
      <c r="E93" s="274">
        <f>'[1]IceBank Account'!$U$4*'[1]IceBank Account'!H29*Efficiency</f>
        <v>0</v>
      </c>
      <c r="F93" s="295">
        <f t="shared" si="0"/>
        <v>461.69082125603859</v>
      </c>
      <c r="G93" s="286">
        <v>22</v>
      </c>
      <c r="H93" s="287">
        <f>IF('[1]IceBank Account'!B29="I",'[1]IceBank Account'!E29*$B$70*[2]Summary!$B$20,SUM(B93:E93)*[2]Summary!$B$15*[2]Summary!$B$19)</f>
        <v>351.69082125603859</v>
      </c>
      <c r="I93" s="287">
        <f t="shared" si="5"/>
        <v>351.69082125603859</v>
      </c>
      <c r="J93" s="287">
        <f t="shared" si="1"/>
        <v>0</v>
      </c>
    </row>
    <row r="94" spans="1:10">
      <c r="A94">
        <f t="shared" si="2"/>
        <v>23</v>
      </c>
      <c r="B94" s="274">
        <f>IF('[1]IceBank Account'!B30="I",'[1]IceBank Account'!E30*$B$70*[2]Summary!$B$20,'[1]IceBank Account'!J30*[2]Summary!$B$19)</f>
        <v>351.69082125603859</v>
      </c>
      <c r="C94" s="274">
        <f>IF($C$70=0,0,IF('[1]IceBank Account'!B30="I",'[1]IceBank Account'!E30*$B$70,'[1]IceBank Account'!K30))</f>
        <v>0</v>
      </c>
      <c r="D94" s="274">
        <f>'[1]IceBank Account'!$P$4*'[1]IceBank Account'!G30*Efficiency</f>
        <v>110.00000000000001</v>
      </c>
      <c r="E94" s="274">
        <f>'[1]IceBank Account'!$U$4*'[1]IceBank Account'!H30*Efficiency</f>
        <v>0</v>
      </c>
      <c r="F94" s="295">
        <f t="shared" si="0"/>
        <v>461.69082125603859</v>
      </c>
      <c r="G94">
        <v>23</v>
      </c>
      <c r="H94" s="46">
        <f>IF('[1]IceBank Account'!B30="I",'[1]IceBank Account'!E30*$B$70*[2]Summary!$B$20,SUM(B94:E94)*[2]Summary!$B$15*[2]Summary!$B$19)</f>
        <v>351.69082125603859</v>
      </c>
      <c r="I94" s="46">
        <v>0</v>
      </c>
      <c r="J94" s="46">
        <f t="shared" si="1"/>
        <v>351.69082125603859</v>
      </c>
    </row>
    <row r="95" spans="1:10">
      <c r="A95">
        <f t="shared" si="2"/>
        <v>24</v>
      </c>
      <c r="B95" s="274">
        <f>IF('[1]IceBank Account'!B31="I",'[1]IceBank Account'!E31*$B$70*[2]Summary!$B$20,'[1]IceBank Account'!J31*[2]Summary!$B$19)</f>
        <v>351.69082125603859</v>
      </c>
      <c r="C95" s="274">
        <f>IF($C$70=0,0,IF('[1]IceBank Account'!B31="I",'[1]IceBank Account'!E31*$B$70,'[1]IceBank Account'!K31))</f>
        <v>0</v>
      </c>
      <c r="D95" s="274">
        <f>'[1]IceBank Account'!$P$4*'[1]IceBank Account'!G31*Efficiency</f>
        <v>110.00000000000001</v>
      </c>
      <c r="E95" s="274">
        <f>'[1]IceBank Account'!$U$4*'[1]IceBank Account'!H31*Efficiency</f>
        <v>0</v>
      </c>
      <c r="F95" s="295">
        <f t="shared" si="0"/>
        <v>461.69082125603859</v>
      </c>
      <c r="G95">
        <v>24</v>
      </c>
      <c r="H95" s="46">
        <f>IF('[1]IceBank Account'!B31="I",'[1]IceBank Account'!E31*$B$70*[2]Summary!$B$20,SUM(B95:E95)*[2]Summary!$B$15*[2]Summary!$B$19)</f>
        <v>351.69082125603859</v>
      </c>
      <c r="I95" s="46">
        <v>0</v>
      </c>
      <c r="J95" s="46">
        <f t="shared" si="1"/>
        <v>351.69082125603859</v>
      </c>
    </row>
    <row r="96" spans="1:10">
      <c r="F96" s="295"/>
      <c r="I96" s="46"/>
    </row>
    <row r="97" spans="6:9">
      <c r="F97" s="295"/>
      <c r="H97" s="293" t="s">
        <v>211</v>
      </c>
      <c r="I97" s="292">
        <f>'[1]IceBank Account'!M33</f>
        <v>3956.5217391304341</v>
      </c>
    </row>
    <row r="98" spans="6:9">
      <c r="H98" s="293" t="s">
        <v>212</v>
      </c>
      <c r="I98" s="292">
        <f>I97*[2]Summary!$B$19</f>
        <v>3165.2173913043475</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98"/>
  <sheetViews>
    <sheetView showGridLines="0" zoomScale="80" zoomScaleNormal="80" workbookViewId="0">
      <selection activeCell="F52" sqref="F52"/>
    </sheetView>
  </sheetViews>
  <sheetFormatPr defaultRowHeight="14.5"/>
  <cols>
    <col min="1" max="1" width="33.453125" customWidth="1"/>
    <col min="2" max="2" width="15.1796875" customWidth="1"/>
    <col min="6" max="6" width="36.1796875" customWidth="1"/>
    <col min="7" max="7" width="20" customWidth="1"/>
    <col min="8" max="8" width="13.453125" customWidth="1"/>
    <col min="11" max="11" width="32.54296875" customWidth="1"/>
    <col min="12" max="12" width="16.26953125" customWidth="1"/>
    <col min="13" max="13" width="13.453125" customWidth="1"/>
  </cols>
  <sheetData>
    <row r="1" spans="1:14">
      <c r="A1" s="175" t="s">
        <v>283</v>
      </c>
    </row>
    <row r="2" spans="1:14">
      <c r="A2" t="s">
        <v>328</v>
      </c>
    </row>
    <row r="5" spans="1:14">
      <c r="A5" s="278" t="s">
        <v>329</v>
      </c>
      <c r="B5" s="259"/>
      <c r="F5" s="175" t="s">
        <v>161</v>
      </c>
      <c r="K5" s="175" t="s">
        <v>176</v>
      </c>
    </row>
    <row r="6" spans="1:14">
      <c r="A6" s="248" t="s">
        <v>192</v>
      </c>
      <c r="B6" s="279">
        <v>59.51</v>
      </c>
      <c r="F6" t="s">
        <v>174</v>
      </c>
      <c r="G6" s="271">
        <f>MAX('IceBank Account'!$C$8:$C$31)</f>
        <v>250</v>
      </c>
      <c r="K6" t="s">
        <v>177</v>
      </c>
      <c r="L6" s="271">
        <f>Summary!$I$6</f>
        <v>250</v>
      </c>
    </row>
    <row r="7" spans="1:14">
      <c r="A7" s="248" t="s">
        <v>250</v>
      </c>
      <c r="B7" s="257"/>
      <c r="K7" t="s">
        <v>178</v>
      </c>
      <c r="L7">
        <f>'IceBank Account'!$Q$33</f>
        <v>4</v>
      </c>
    </row>
    <row r="8" spans="1:14">
      <c r="A8" s="248" t="s">
        <v>255</v>
      </c>
      <c r="B8" s="280">
        <v>12.54</v>
      </c>
      <c r="F8" s="191" t="s">
        <v>162</v>
      </c>
      <c r="K8" s="191" t="s">
        <v>162</v>
      </c>
    </row>
    <row r="9" spans="1:14">
      <c r="A9" s="248" t="s">
        <v>256</v>
      </c>
      <c r="B9" s="257">
        <v>0.10290000000000001</v>
      </c>
      <c r="F9" s="258" t="s">
        <v>250</v>
      </c>
      <c r="G9" s="284" t="s">
        <v>163</v>
      </c>
      <c r="H9" s="245" t="s">
        <v>164</v>
      </c>
      <c r="I9" s="12"/>
      <c r="K9" s="258" t="s">
        <v>250</v>
      </c>
      <c r="L9" s="284" t="s">
        <v>163</v>
      </c>
      <c r="M9" s="245" t="s">
        <v>164</v>
      </c>
      <c r="N9" s="12"/>
    </row>
    <row r="10" spans="1:14">
      <c r="A10" s="248" t="s">
        <v>252</v>
      </c>
      <c r="B10" s="257">
        <v>3.8629999999999998E-2</v>
      </c>
      <c r="F10" t="s">
        <v>190</v>
      </c>
      <c r="G10" s="283" t="s">
        <v>196</v>
      </c>
      <c r="H10" s="260">
        <f>B6</f>
        <v>59.51</v>
      </c>
      <c r="K10" t="s">
        <v>190</v>
      </c>
      <c r="L10" s="283" t="s">
        <v>196</v>
      </c>
      <c r="M10" s="260">
        <f>B6</f>
        <v>59.51</v>
      </c>
    </row>
    <row r="11" spans="1:14">
      <c r="A11" s="248" t="s">
        <v>253</v>
      </c>
      <c r="B11" s="257"/>
      <c r="F11" t="s">
        <v>191</v>
      </c>
      <c r="G11" s="281">
        <f>B24</f>
        <v>275</v>
      </c>
      <c r="H11" s="260">
        <f>G11*$B$8</f>
        <v>3448.4999999999995</v>
      </c>
      <c r="K11" t="s">
        <v>191</v>
      </c>
      <c r="L11" s="281">
        <f>B32</f>
        <v>143.75</v>
      </c>
      <c r="M11" s="260">
        <f>L11*$B$16</f>
        <v>1615.75</v>
      </c>
    </row>
    <row r="12" spans="1:14">
      <c r="A12" s="248" t="s">
        <v>251</v>
      </c>
      <c r="B12" s="280">
        <v>11.24</v>
      </c>
      <c r="F12" t="s">
        <v>198</v>
      </c>
      <c r="G12" s="282">
        <f>B27</f>
        <v>5445</v>
      </c>
      <c r="H12" s="260">
        <f>G12*$B$9</f>
        <v>560.29050000000007</v>
      </c>
      <c r="K12" t="s">
        <v>198</v>
      </c>
      <c r="L12" s="282">
        <f>B36</f>
        <v>5692.5</v>
      </c>
      <c r="M12" s="260">
        <f>L12*$B$17</f>
        <v>395.45797500000003</v>
      </c>
    </row>
    <row r="13" spans="1:14">
      <c r="A13" s="248" t="s">
        <v>257</v>
      </c>
      <c r="B13" s="257">
        <v>6.9470000000000004E-2</v>
      </c>
      <c r="F13" t="s">
        <v>199</v>
      </c>
      <c r="G13" s="282">
        <f>B28</f>
        <v>43257.5</v>
      </c>
      <c r="H13" s="260">
        <f>G13*B10</f>
        <v>1671.0372249999998</v>
      </c>
      <c r="K13" t="s">
        <v>199</v>
      </c>
      <c r="L13" s="282">
        <f>B37</f>
        <v>45858.394495412831</v>
      </c>
      <c r="M13" s="260">
        <f>L13*B10</f>
        <v>1771.5097793577975</v>
      </c>
    </row>
    <row r="14" spans="1:14">
      <c r="A14" s="248" t="s">
        <v>252</v>
      </c>
      <c r="B14" s="257">
        <v>3.7150000000000002E-2</v>
      </c>
      <c r="F14" s="175" t="s">
        <v>165</v>
      </c>
      <c r="G14" s="175"/>
      <c r="H14" s="222">
        <f>SUM(H10:H13)</f>
        <v>5739.3377249999994</v>
      </c>
      <c r="I14" t="s">
        <v>263</v>
      </c>
      <c r="K14" s="175" t="s">
        <v>165</v>
      </c>
      <c r="L14" s="175"/>
      <c r="M14" s="222">
        <f>SUM(M10:M13)</f>
        <v>3842.2277543577975</v>
      </c>
      <c r="N14" t="s">
        <v>263</v>
      </c>
    </row>
    <row r="15" spans="1:14">
      <c r="A15" s="248" t="s">
        <v>254</v>
      </c>
      <c r="B15" s="257"/>
      <c r="F15" s="176" t="s">
        <v>324</v>
      </c>
      <c r="G15" s="284" t="s">
        <v>163</v>
      </c>
      <c r="H15" s="245" t="s">
        <v>164</v>
      </c>
      <c r="K15" s="176" t="s">
        <v>324</v>
      </c>
      <c r="L15" s="284" t="s">
        <v>163</v>
      </c>
      <c r="M15" s="245" t="s">
        <v>164</v>
      </c>
    </row>
    <row r="16" spans="1:14">
      <c r="A16" s="248" t="s">
        <v>258</v>
      </c>
      <c r="B16" s="280">
        <v>11.24</v>
      </c>
      <c r="F16" t="s">
        <v>190</v>
      </c>
      <c r="G16" s="283" t="s">
        <v>196</v>
      </c>
      <c r="H16" s="260">
        <f>B6</f>
        <v>59.51</v>
      </c>
      <c r="K16" t="s">
        <v>190</v>
      </c>
      <c r="L16" s="283" t="s">
        <v>196</v>
      </c>
      <c r="M16" s="260">
        <f>B6</f>
        <v>59.51</v>
      </c>
    </row>
    <row r="17" spans="1:14">
      <c r="A17" s="248" t="s">
        <v>259</v>
      </c>
      <c r="B17" s="257">
        <v>6.9470000000000004E-2</v>
      </c>
      <c r="F17" t="s">
        <v>191</v>
      </c>
      <c r="G17" s="281">
        <f>B24</f>
        <v>275</v>
      </c>
      <c r="H17" s="260">
        <f>G17*$B$12</f>
        <v>3091</v>
      </c>
      <c r="K17" t="s">
        <v>191</v>
      </c>
      <c r="L17" s="281">
        <f>B41</f>
        <v>133.95945945945945</v>
      </c>
      <c r="M17" s="260">
        <f>L17*$B$12</f>
        <v>1505.7043243243243</v>
      </c>
    </row>
    <row r="18" spans="1:14">
      <c r="A18" s="248" t="s">
        <v>260</v>
      </c>
      <c r="B18" s="257">
        <v>3.7150000000000002E-2</v>
      </c>
      <c r="F18" t="s">
        <v>198</v>
      </c>
      <c r="G18" s="282">
        <f>B27</f>
        <v>5445</v>
      </c>
      <c r="H18" s="260">
        <f>G18*$B$13</f>
        <v>378.26415000000003</v>
      </c>
      <c r="K18" t="s">
        <v>198</v>
      </c>
      <c r="L18" s="282">
        <f>L17*9*22</f>
        <v>26523.97297297297</v>
      </c>
      <c r="M18" s="260">
        <f>L18*$B$13</f>
        <v>1842.6204024324322</v>
      </c>
    </row>
    <row r="19" spans="1:14" ht="15" thickBot="1">
      <c r="A19" s="289" t="s">
        <v>209</v>
      </c>
      <c r="B19" s="290">
        <f>Tax</f>
        <v>0.08</v>
      </c>
      <c r="F19" t="s">
        <v>199</v>
      </c>
      <c r="G19" s="282">
        <f>B29-G18</f>
        <v>43257.5</v>
      </c>
      <c r="H19" s="260">
        <f>G19*$B$14</f>
        <v>1607.0161250000001</v>
      </c>
      <c r="K19" t="s">
        <v>199</v>
      </c>
      <c r="L19" s="282">
        <f>B47-L18</f>
        <v>25026.921522439869</v>
      </c>
      <c r="M19" s="260">
        <f>L19*B14</f>
        <v>929.75013455864121</v>
      </c>
    </row>
    <row r="20" spans="1:14" ht="15" thickBot="1">
      <c r="F20" s="222" t="s">
        <v>165</v>
      </c>
      <c r="G20" s="222"/>
      <c r="H20" s="222">
        <f>SUM(H16:H19)</f>
        <v>5135.7902750000003</v>
      </c>
      <c r="I20" t="s">
        <v>325</v>
      </c>
      <c r="J20" s="260"/>
      <c r="K20" s="222" t="s">
        <v>165</v>
      </c>
      <c r="L20" s="222"/>
      <c r="M20" s="222">
        <f>SUM(M16:M19)</f>
        <v>4337.5848613153976</v>
      </c>
      <c r="N20" t="s">
        <v>325</v>
      </c>
    </row>
    <row r="21" spans="1:14">
      <c r="A21" s="305" t="s">
        <v>202</v>
      </c>
      <c r="B21" s="306"/>
      <c r="C21" s="306"/>
      <c r="D21" s="307"/>
      <c r="F21" s="176" t="str">
        <f>"Nov-March ("&amp;Months-7&amp;" months cooling)"</f>
        <v>Nov-March (2 months cooling)</v>
      </c>
      <c r="G21" s="284" t="s">
        <v>163</v>
      </c>
      <c r="H21" s="245" t="s">
        <v>164</v>
      </c>
      <c r="J21" s="260"/>
      <c r="K21" s="176" t="str">
        <f>"Nov-March ("&amp;Months-7&amp;" months cooling)"</f>
        <v>Nov-March (2 months cooling)</v>
      </c>
      <c r="L21" s="284" t="s">
        <v>163</v>
      </c>
      <c r="M21" s="245" t="s">
        <v>164</v>
      </c>
    </row>
    <row r="22" spans="1:14">
      <c r="A22" s="308" t="s">
        <v>166</v>
      </c>
      <c r="B22" s="309"/>
      <c r="C22" s="309"/>
      <c r="D22" s="310"/>
      <c r="F22" t="s">
        <v>190</v>
      </c>
      <c r="G22" s="283" t="s">
        <v>196</v>
      </c>
      <c r="H22" s="260">
        <f>B6</f>
        <v>59.51</v>
      </c>
      <c r="J22" s="260"/>
      <c r="K22" t="s">
        <v>190</v>
      </c>
      <c r="L22" s="283" t="s">
        <v>196</v>
      </c>
      <c r="M22" s="260">
        <f>B6</f>
        <v>59.51</v>
      </c>
    </row>
    <row r="23" spans="1:14">
      <c r="A23" s="178" t="s">
        <v>309</v>
      </c>
      <c r="B23" s="311">
        <f>AVERAGE('IceBank Account'!$C$8:$C$31)*Efficiency</f>
        <v>92.239583333333343</v>
      </c>
      <c r="C23" s="312"/>
      <c r="D23" s="310"/>
      <c r="F23" t="s">
        <v>191</v>
      </c>
      <c r="G23" s="281">
        <f>G17*Shoulder</f>
        <v>137.5</v>
      </c>
      <c r="H23" s="260">
        <f>G23*$B$16</f>
        <v>1545.5</v>
      </c>
      <c r="J23" s="260"/>
      <c r="K23" t="s">
        <v>191</v>
      </c>
      <c r="L23" s="281">
        <v>0</v>
      </c>
      <c r="M23" s="260">
        <f>L23*$B$16</f>
        <v>0</v>
      </c>
    </row>
    <row r="24" spans="1:14">
      <c r="A24" s="178" t="s">
        <v>264</v>
      </c>
      <c r="B24" s="311">
        <f>MAX('IceBank Account'!$C$8:$C$31)*Efficiency</f>
        <v>275</v>
      </c>
      <c r="C24" s="317" t="s">
        <v>326</v>
      </c>
      <c r="D24" s="310"/>
      <c r="F24" t="s">
        <v>198</v>
      </c>
      <c r="G24" s="282">
        <f>G18*Shoulder</f>
        <v>2722.5</v>
      </c>
      <c r="H24" s="260">
        <f>G24*$B$17</f>
        <v>189.13207500000001</v>
      </c>
      <c r="K24" t="s">
        <v>198</v>
      </c>
      <c r="L24" s="282">
        <f>B54</f>
        <v>5956.5252293577978</v>
      </c>
      <c r="M24" s="260">
        <f>L24*$B$17</f>
        <v>413.79980768348622</v>
      </c>
    </row>
    <row r="25" spans="1:14">
      <c r="A25" s="178" t="s">
        <v>186</v>
      </c>
      <c r="B25" s="313">
        <f>SUM('IceBank Account'!$C$8:$C$31)*Efficiency</f>
        <v>2213.75</v>
      </c>
      <c r="C25" s="309"/>
      <c r="D25" s="310"/>
      <c r="F25" t="s">
        <v>199</v>
      </c>
      <c r="G25" s="282">
        <f>G19*Shoulder</f>
        <v>21628.75</v>
      </c>
      <c r="H25" s="260">
        <f>G25*$B$18</f>
        <v>803.50806250000005</v>
      </c>
      <c r="K25" t="s">
        <v>199</v>
      </c>
      <c r="L25" s="282">
        <f>B55</f>
        <v>19818.922018348618</v>
      </c>
      <c r="M25" s="260">
        <f>L25*B18</f>
        <v>736.2729529816512</v>
      </c>
    </row>
    <row r="26" spans="1:14">
      <c r="A26" s="178" t="s">
        <v>187</v>
      </c>
      <c r="B26" s="313">
        <f>B25*Weekend</f>
        <v>0</v>
      </c>
      <c r="C26" s="309"/>
      <c r="D26" s="310"/>
      <c r="F26" s="222" t="s">
        <v>165</v>
      </c>
      <c r="G26" s="222"/>
      <c r="H26" s="222">
        <f>SUM(H22:H25)</f>
        <v>2597.6501374999998</v>
      </c>
      <c r="I26" t="str">
        <f>"x "&amp;Months-7&amp;" months"</f>
        <v>x 2 months</v>
      </c>
      <c r="K26" s="222" t="s">
        <v>165</v>
      </c>
      <c r="L26" s="222"/>
      <c r="M26" s="222">
        <f>SUM(M22:M25)</f>
        <v>1209.5827606651374</v>
      </c>
      <c r="N26" t="str">
        <f>"x "&amp;Months-7&amp;" months"</f>
        <v>x 2 months</v>
      </c>
    </row>
    <row r="27" spans="1:14">
      <c r="A27" s="178" t="s">
        <v>311</v>
      </c>
      <c r="B27" s="313">
        <f>22*SUM('IceBank Account'!C23:$C$25)*Efficiency</f>
        <v>5445</v>
      </c>
      <c r="C27" s="317" t="s">
        <v>326</v>
      </c>
      <c r="D27" s="310"/>
    </row>
    <row r="28" spans="1:14">
      <c r="A28" s="178" t="s">
        <v>313</v>
      </c>
      <c r="B28" s="313">
        <f>B29-B27</f>
        <v>43257.5</v>
      </c>
      <c r="C28" s="309"/>
      <c r="D28" s="310"/>
      <c r="F28" s="260" t="s">
        <v>169</v>
      </c>
      <c r="G28" s="260"/>
      <c r="H28" s="260">
        <f>(H14*4)+(H20*3)+(H26*(Months-7))</f>
        <v>43560.021999999997</v>
      </c>
      <c r="K28" s="260" t="s">
        <v>169</v>
      </c>
      <c r="L28" s="260"/>
      <c r="M28" s="260">
        <f>M14*4+M20*3+(M26*(Months-7))</f>
        <v>30800.831122707656</v>
      </c>
    </row>
    <row r="29" spans="1:14">
      <c r="A29" s="178" t="s">
        <v>175</v>
      </c>
      <c r="B29" s="313">
        <f>(22*B25)+(8*B26)</f>
        <v>48702.5</v>
      </c>
      <c r="C29" s="317" t="s">
        <v>295</v>
      </c>
      <c r="D29" s="310"/>
      <c r="F29" s="222" t="s">
        <v>214</v>
      </c>
      <c r="G29" s="222"/>
      <c r="H29" s="222">
        <f>H28*(1+Tax)</f>
        <v>47044.823759999999</v>
      </c>
      <c r="K29" s="222" t="s">
        <v>214</v>
      </c>
      <c r="L29" s="222"/>
      <c r="M29" s="222">
        <f>M28*(1+Tax)</f>
        <v>33264.89761252427</v>
      </c>
    </row>
    <row r="30" spans="1:14">
      <c r="A30" s="314" t="s">
        <v>206</v>
      </c>
      <c r="B30" s="315"/>
      <c r="C30" s="315"/>
      <c r="D30" s="316"/>
    </row>
    <row r="31" spans="1:14" ht="15" thickBot="1">
      <c r="A31" s="178" t="s">
        <v>309</v>
      </c>
      <c r="B31" s="311">
        <f>AVERAGE('Cover Page'!$I$117:$I$140)</f>
        <v>97.63426987767582</v>
      </c>
      <c r="C31" s="309"/>
      <c r="D31" s="310"/>
    </row>
    <row r="32" spans="1:14" ht="15.5">
      <c r="A32" s="178" t="s">
        <v>264</v>
      </c>
      <c r="B32" s="311">
        <f>MAX('Cover Page'!$I$132:$I$134)</f>
        <v>143.75</v>
      </c>
      <c r="C32" s="317" t="s">
        <v>326</v>
      </c>
      <c r="D32" s="310"/>
      <c r="F32" s="261" t="s">
        <v>170</v>
      </c>
      <c r="G32" s="262"/>
    </row>
    <row r="33" spans="1:7" ht="15.5">
      <c r="A33" s="178" t="s">
        <v>200</v>
      </c>
      <c r="B33" s="313">
        <f>SUM('Cover Page'!$I$132:$I$134)</f>
        <v>258.75</v>
      </c>
      <c r="C33" s="317" t="s">
        <v>326</v>
      </c>
      <c r="D33" s="310"/>
      <c r="F33" s="263" t="s">
        <v>166</v>
      </c>
      <c r="G33" s="264">
        <f>H29</f>
        <v>47044.823759999999</v>
      </c>
    </row>
    <row r="34" spans="1:7" ht="16" thickBot="1">
      <c r="A34" s="178" t="s">
        <v>201</v>
      </c>
      <c r="B34" s="313">
        <f>'Cover Page'!$I$142-B33</f>
        <v>2084.4724770642197</v>
      </c>
      <c r="C34" s="309"/>
      <c r="D34" s="310"/>
      <c r="F34" s="265" t="s">
        <v>171</v>
      </c>
      <c r="G34" s="266">
        <f>M29</f>
        <v>33264.89761252427</v>
      </c>
    </row>
    <row r="35" spans="1:7" ht="16" thickTop="1">
      <c r="A35" s="178" t="s">
        <v>187</v>
      </c>
      <c r="B35" s="313">
        <f>(B33+B34)*Weekend</f>
        <v>0</v>
      </c>
      <c r="C35" s="309"/>
      <c r="D35" s="310"/>
      <c r="F35" s="267" t="s">
        <v>172</v>
      </c>
      <c r="G35" s="268">
        <f>G33-G34</f>
        <v>13779.92614747573</v>
      </c>
    </row>
    <row r="36" spans="1:7" ht="16" thickBot="1">
      <c r="A36" s="178" t="s">
        <v>311</v>
      </c>
      <c r="B36" s="313">
        <f>B33*22</f>
        <v>5692.5</v>
      </c>
      <c r="C36" s="317" t="s">
        <v>326</v>
      </c>
      <c r="D36" s="310"/>
      <c r="F36" s="269" t="s">
        <v>173</v>
      </c>
      <c r="G36" s="270">
        <f>G35/G33</f>
        <v>0.29291057009320021</v>
      </c>
    </row>
    <row r="37" spans="1:7">
      <c r="A37" s="178" t="s">
        <v>313</v>
      </c>
      <c r="B37" s="313">
        <f>(22*B34)+(8*B35)</f>
        <v>45858.394495412831</v>
      </c>
      <c r="C37" s="309"/>
      <c r="D37" s="310"/>
    </row>
    <row r="38" spans="1:7">
      <c r="A38" s="318" t="s">
        <v>175</v>
      </c>
      <c r="B38" s="319">
        <f>B36+B37</f>
        <v>51550.894495412831</v>
      </c>
      <c r="C38" s="351" t="s">
        <v>295</v>
      </c>
      <c r="D38" s="320"/>
    </row>
    <row r="39" spans="1:7">
      <c r="A39" s="308" t="s">
        <v>335</v>
      </c>
      <c r="B39" s="309"/>
      <c r="C39" s="309"/>
      <c r="D39" s="310"/>
    </row>
    <row r="40" spans="1:7">
      <c r="A40" s="178" t="s">
        <v>167</v>
      </c>
      <c r="B40" s="311">
        <f>AVERAGE('Cover Page'!$I$117:$I$140)</f>
        <v>97.63426987767582</v>
      </c>
      <c r="C40" s="309"/>
      <c r="D40" s="310"/>
    </row>
    <row r="41" spans="1:7">
      <c r="A41" s="178" t="s">
        <v>264</v>
      </c>
      <c r="B41" s="311">
        <f>Shoulder_kW</f>
        <v>133.95945945945945</v>
      </c>
      <c r="C41" s="317" t="s">
        <v>312</v>
      </c>
      <c r="D41" s="310"/>
    </row>
    <row r="42" spans="1:7">
      <c r="A42" s="178" t="s">
        <v>200</v>
      </c>
      <c r="B42" s="313">
        <f>SUM('Cover Page'!$I$129:$I$137)</f>
        <v>769.12844036697243</v>
      </c>
      <c r="C42" s="317" t="s">
        <v>312</v>
      </c>
      <c r="D42" s="310"/>
    </row>
    <row r="43" spans="1:7">
      <c r="A43" s="178" t="s">
        <v>201</v>
      </c>
      <c r="B43" s="313">
        <f>'Cover Page'!$I$142-B42</f>
        <v>1574.0940366972472</v>
      </c>
      <c r="C43" s="309"/>
      <c r="D43" s="310"/>
    </row>
    <row r="44" spans="1:7">
      <c r="A44" s="178" t="s">
        <v>187</v>
      </c>
      <c r="B44" s="313">
        <f>(B42+B43)*Weekend</f>
        <v>0</v>
      </c>
      <c r="C44" s="309"/>
      <c r="D44" s="310"/>
    </row>
    <row r="45" spans="1:7">
      <c r="A45" s="178" t="s">
        <v>311</v>
      </c>
      <c r="B45" s="313">
        <f>B42*22</f>
        <v>16920.825688073393</v>
      </c>
      <c r="C45" s="317" t="s">
        <v>312</v>
      </c>
      <c r="D45" s="310"/>
    </row>
    <row r="46" spans="1:7">
      <c r="A46" s="178" t="s">
        <v>313</v>
      </c>
      <c r="B46" s="313">
        <f>(22*B43)+(8*B44)</f>
        <v>34630.068807339441</v>
      </c>
      <c r="C46" s="309"/>
      <c r="D46" s="310"/>
    </row>
    <row r="47" spans="1:7" ht="15" thickBot="1">
      <c r="A47" s="321" t="s">
        <v>175</v>
      </c>
      <c r="B47" s="322">
        <f>B45+B46</f>
        <v>51550.894495412838</v>
      </c>
      <c r="C47" s="323"/>
      <c r="D47" s="324"/>
    </row>
    <row r="48" spans="1:7">
      <c r="A48" s="308" t="s">
        <v>296</v>
      </c>
      <c r="B48" s="309"/>
      <c r="C48" s="309"/>
      <c r="D48" s="310"/>
    </row>
    <row r="49" spans="1:5">
      <c r="A49" s="178" t="s">
        <v>167</v>
      </c>
      <c r="B49" s="311">
        <f>B40*Shoulder</f>
        <v>48.81713493883791</v>
      </c>
      <c r="C49" s="309"/>
      <c r="D49" s="310"/>
    </row>
    <row r="50" spans="1:5">
      <c r="A50" s="178" t="s">
        <v>264</v>
      </c>
      <c r="B50" s="311">
        <f>MAX('Cover Page'!$I$123:$I$126,'Cover Page'!$I$135:$I$138)*Shoulder</f>
        <v>85.063073394495405</v>
      </c>
      <c r="C50" s="317" t="s">
        <v>327</v>
      </c>
      <c r="D50" s="310"/>
      <c r="E50" t="s">
        <v>316</v>
      </c>
    </row>
    <row r="51" spans="1:5">
      <c r="A51" s="178" t="s">
        <v>200</v>
      </c>
      <c r="B51" s="313">
        <f>SUM('Cover Page'!$I$123:$I$126,'Cover Page'!$I$135:$I$138)*Shoulder</f>
        <v>270.75114678899081</v>
      </c>
      <c r="C51" s="317" t="s">
        <v>327</v>
      </c>
      <c r="D51" s="310"/>
    </row>
    <row r="52" spans="1:5">
      <c r="A52" s="178" t="s">
        <v>201</v>
      </c>
      <c r="B52" s="313">
        <f>('Cover Page'!$I$142*Shoulder)-B51</f>
        <v>900.86009174311903</v>
      </c>
      <c r="C52" s="309"/>
      <c r="D52" s="310"/>
    </row>
    <row r="53" spans="1:5">
      <c r="A53" s="178" t="s">
        <v>187</v>
      </c>
      <c r="B53" s="313">
        <f>(B51+B52)*Weekend</f>
        <v>0</v>
      </c>
      <c r="C53" s="309"/>
      <c r="D53" s="310"/>
    </row>
    <row r="54" spans="1:5">
      <c r="A54" s="178" t="s">
        <v>311</v>
      </c>
      <c r="B54" s="313">
        <f>B51*22</f>
        <v>5956.5252293577978</v>
      </c>
      <c r="C54" s="317" t="s">
        <v>327</v>
      </c>
      <c r="D54" s="310"/>
    </row>
    <row r="55" spans="1:5">
      <c r="A55" s="178" t="s">
        <v>313</v>
      </c>
      <c r="B55" s="313">
        <f>(22*B52)+(8*B53)</f>
        <v>19818.922018348618</v>
      </c>
      <c r="C55" s="309"/>
      <c r="D55" s="310"/>
    </row>
    <row r="56" spans="1:5" ht="15" thickBot="1">
      <c r="A56" s="321" t="s">
        <v>175</v>
      </c>
      <c r="B56" s="322">
        <f>B54+B55</f>
        <v>25775.447247706416</v>
      </c>
      <c r="C56" s="323"/>
      <c r="D56" s="324"/>
    </row>
    <row r="61" spans="1:5">
      <c r="B61" s="352"/>
    </row>
    <row r="69" spans="1:10">
      <c r="A69" s="176" t="s">
        <v>189</v>
      </c>
      <c r="G69" s="175" t="s">
        <v>203</v>
      </c>
    </row>
    <row r="70" spans="1:10">
      <c r="A70" s="191" t="s">
        <v>188</v>
      </c>
      <c r="B70" s="276">
        <f>IF('[1]IceBank Account'!F4&lt;&gt;"",'[1]IceBank Account'!F4,0)</f>
        <v>676.32850241545884</v>
      </c>
      <c r="C70" s="276">
        <f>IF('[1]IceBank Account'!K4&lt;&gt;"",'[1]IceBank Account'!K4,0)</f>
        <v>0</v>
      </c>
      <c r="D70" s="276">
        <f>IF('[1]IceBank Account'!P4&lt;&gt;"",'[1]IceBank Account'!P4,0)</f>
        <v>100</v>
      </c>
      <c r="E70" s="276">
        <f>IF('[1]IceBank Account'!U4&lt;&gt;"",'[1]IceBank Account'!U4,0)</f>
        <v>0</v>
      </c>
      <c r="G70" t="s">
        <v>207</v>
      </c>
    </row>
    <row r="71" spans="1:10">
      <c r="A71" s="249" t="s">
        <v>10</v>
      </c>
      <c r="B71" s="277" t="s">
        <v>181</v>
      </c>
      <c r="C71" s="277" t="s">
        <v>182</v>
      </c>
      <c r="D71" s="277" t="s">
        <v>183</v>
      </c>
      <c r="E71" s="277" t="s">
        <v>184</v>
      </c>
      <c r="F71" s="294" t="s">
        <v>64</v>
      </c>
      <c r="G71" t="s">
        <v>10</v>
      </c>
      <c r="H71" t="s">
        <v>208</v>
      </c>
      <c r="I71" t="s">
        <v>204</v>
      </c>
      <c r="J71" t="s">
        <v>205</v>
      </c>
    </row>
    <row r="72" spans="1:10">
      <c r="A72">
        <f>1</f>
        <v>1</v>
      </c>
      <c r="B72" s="274">
        <f>IF('[1]IceBank Account'!B8="I",'[1]IceBank Account'!E8*$B$70*[2]Summary!$B$20,'[1]IceBank Account'!J8*[2]Summary!$B$19)</f>
        <v>351.69082125603859</v>
      </c>
      <c r="C72" s="274">
        <f>IF($C$70=0,0,IF('[1]IceBank Account'!B8="I",'[1]IceBank Account'!E8*$B$70*[2]Summary!$B$20,'[1]IceBank Account'!K8*[2]Summary!$B$19))</f>
        <v>0</v>
      </c>
      <c r="D72" s="274">
        <f>'[1]IceBank Account'!$P$4*'[1]IceBank Account'!G8*Efficiency</f>
        <v>110.00000000000001</v>
      </c>
      <c r="E72" s="274">
        <f>'[1]IceBank Account'!$U$4*'[1]IceBank Account'!H8*Efficiency</f>
        <v>0</v>
      </c>
      <c r="F72" s="295">
        <f>SUM(B72:E72)</f>
        <v>461.69082125603859</v>
      </c>
      <c r="G72">
        <v>1</v>
      </c>
      <c r="H72" s="46">
        <f>IF('[1]IceBank Account'!B8="I",'[1]IceBank Account'!E8*$B$70*[2]Summary!$B$20,SUM(B72:E72)*[2]Summary!$B$15*[2]Summary!$B$19)</f>
        <v>351.69082125603859</v>
      </c>
      <c r="I72" s="46">
        <v>0</v>
      </c>
      <c r="J72" s="46">
        <f>IF((H72-I72)&gt;0,H72-I72,0)</f>
        <v>351.69082125603859</v>
      </c>
    </row>
    <row r="73" spans="1:10">
      <c r="A73">
        <f>A72+1</f>
        <v>2</v>
      </c>
      <c r="B73" s="274">
        <f>IF('[1]IceBank Account'!B9="I",'[1]IceBank Account'!E9*$B$70*[2]Summary!$B$20,'[1]IceBank Account'!J9*[2]Summary!$B$19)</f>
        <v>351.69082125603859</v>
      </c>
      <c r="C73" s="274">
        <f>IF($C$70=0,0,IF('[1]IceBank Account'!B9="I",'[1]IceBank Account'!E9*$B$70,'[1]IceBank Account'!K9))</f>
        <v>0</v>
      </c>
      <c r="D73" s="274">
        <f>'[1]IceBank Account'!$P$4*'[1]IceBank Account'!G9*Efficiency</f>
        <v>110.00000000000001</v>
      </c>
      <c r="E73" s="274">
        <f>'[1]IceBank Account'!$U$4*'[1]IceBank Account'!H9*Efficiency</f>
        <v>0</v>
      </c>
      <c r="F73" s="295">
        <f t="shared" ref="F73:F95" si="0">SUM(B73:E73)</f>
        <v>461.69082125603859</v>
      </c>
      <c r="G73">
        <v>2</v>
      </c>
      <c r="H73" s="46">
        <f>IF('[1]IceBank Account'!B9="I",'[1]IceBank Account'!E9*$B$70*[2]Summary!$B$20,SUM(B73:E73)*[2]Summary!$B$15*[2]Summary!$B$19)</f>
        <v>351.69082125603859</v>
      </c>
      <c r="I73" s="46">
        <v>0</v>
      </c>
      <c r="J73" s="46">
        <f t="shared" ref="J73:J95" si="1">IF((H73-I73)&gt;0,H73-I73,0)</f>
        <v>351.69082125603859</v>
      </c>
    </row>
    <row r="74" spans="1:10">
      <c r="A74">
        <f t="shared" ref="A74:A95" si="2">A73+1</f>
        <v>3</v>
      </c>
      <c r="B74" s="274">
        <f>IF('[1]IceBank Account'!B10="I",'[1]IceBank Account'!E10*$B$70*[2]Summary!$B$20,'[1]IceBank Account'!J10*[2]Summary!$B$19)</f>
        <v>351.69082125603859</v>
      </c>
      <c r="C74" s="274">
        <f>IF($C$70=0,0,IF('[1]IceBank Account'!B10="I",'[1]IceBank Account'!E10*$B$70,'[1]IceBank Account'!K10))</f>
        <v>0</v>
      </c>
      <c r="D74" s="274">
        <f>'[1]IceBank Account'!$P$4*'[1]IceBank Account'!G10*Efficiency</f>
        <v>110.00000000000001</v>
      </c>
      <c r="E74" s="274">
        <f>'[1]IceBank Account'!$U$4*'[1]IceBank Account'!H10*Efficiency</f>
        <v>0</v>
      </c>
      <c r="F74" s="295">
        <f t="shared" si="0"/>
        <v>461.69082125603859</v>
      </c>
      <c r="G74">
        <v>3</v>
      </c>
      <c r="H74" s="46">
        <f>IF('[1]IceBank Account'!B10="I",'[1]IceBank Account'!E10*$B$70*[2]Summary!$B$20,SUM(B74:E74)*[2]Summary!$B$15*[2]Summary!$B$19)</f>
        <v>351.69082125603859</v>
      </c>
      <c r="I74" s="46">
        <v>0</v>
      </c>
      <c r="J74" s="46">
        <f t="shared" si="1"/>
        <v>351.69082125603859</v>
      </c>
    </row>
    <row r="75" spans="1:10">
      <c r="A75">
        <f t="shared" si="2"/>
        <v>4</v>
      </c>
      <c r="B75" s="274">
        <f>IF('[1]IceBank Account'!B11="I",'[1]IceBank Account'!E11*$B$70*[2]Summary!$B$20,'[1]IceBank Account'!J11*[2]Summary!$B$19)</f>
        <v>351.69082125603859</v>
      </c>
      <c r="C75" s="274">
        <f>IF($C$70=0,0,IF('[1]IceBank Account'!B11="I",'[1]IceBank Account'!E11*$B$70,'[1]IceBank Account'!K11))</f>
        <v>0</v>
      </c>
      <c r="D75" s="274">
        <f>'[1]IceBank Account'!$P$4*'[1]IceBank Account'!G11*Efficiency</f>
        <v>110.00000000000001</v>
      </c>
      <c r="E75" s="274">
        <f>'[1]IceBank Account'!$U$4*'[1]IceBank Account'!H11*Efficiency</f>
        <v>0</v>
      </c>
      <c r="F75" s="295">
        <f t="shared" si="0"/>
        <v>461.69082125603859</v>
      </c>
      <c r="G75">
        <v>4</v>
      </c>
      <c r="H75" s="46">
        <f>IF('[1]IceBank Account'!B11="I",'[1]IceBank Account'!E11*$B$70*[2]Summary!$B$20,SUM(B75:E75)*[2]Summary!$B$15*[2]Summary!$B$19)</f>
        <v>351.69082125603859</v>
      </c>
      <c r="I75" s="46">
        <v>0</v>
      </c>
      <c r="J75" s="46">
        <f t="shared" si="1"/>
        <v>351.69082125603859</v>
      </c>
    </row>
    <row r="76" spans="1:10">
      <c r="A76">
        <f t="shared" si="2"/>
        <v>5</v>
      </c>
      <c r="B76" s="274">
        <f>IF('[1]IceBank Account'!B12="I",'[1]IceBank Account'!E12*$B$70*[2]Summary!$B$20,'[1]IceBank Account'!J12*[2]Summary!$B$19)</f>
        <v>351.69082125603859</v>
      </c>
      <c r="C76" s="274">
        <f>IF($C$70=0,0,IF('[1]IceBank Account'!B12="I",'[1]IceBank Account'!E12*$B$70,'[1]IceBank Account'!K12))</f>
        <v>0</v>
      </c>
      <c r="D76" s="274">
        <f>'[1]IceBank Account'!$P$4*'[1]IceBank Account'!G12*Efficiency</f>
        <v>110.00000000000001</v>
      </c>
      <c r="E76" s="274">
        <f>'[1]IceBank Account'!$U$4*'[1]IceBank Account'!H12*Efficiency</f>
        <v>0</v>
      </c>
      <c r="F76" s="295">
        <f t="shared" si="0"/>
        <v>461.69082125603859</v>
      </c>
      <c r="G76">
        <v>5</v>
      </c>
      <c r="H76" s="46">
        <f>IF('[1]IceBank Account'!B12="I",'[1]IceBank Account'!E12*$B$70*[2]Summary!$B$20,SUM(B76:E76)*[2]Summary!$B$15*[2]Summary!$B$19)</f>
        <v>351.69082125603859</v>
      </c>
      <c r="I76" s="46">
        <v>0</v>
      </c>
      <c r="J76" s="46">
        <f t="shared" si="1"/>
        <v>351.69082125603859</v>
      </c>
    </row>
    <row r="77" spans="1:10">
      <c r="A77">
        <f t="shared" si="2"/>
        <v>6</v>
      </c>
      <c r="B77" s="274">
        <f>IF('[1]IceBank Account'!B13="I",'[1]IceBank Account'!E13*$B$70*[2]Summary!$B$20,'[1]IceBank Account'!J13*[2]Summary!$B$19)</f>
        <v>351.69082125603859</v>
      </c>
      <c r="C77" s="274">
        <f>IF($C$70=0,0,IF('[1]IceBank Account'!B13="I",'[1]IceBank Account'!E13*$B$70,'[1]IceBank Account'!K13))</f>
        <v>0</v>
      </c>
      <c r="D77" s="274">
        <f>'[1]IceBank Account'!$P$4*'[1]IceBank Account'!G13*Efficiency</f>
        <v>110.00000000000001</v>
      </c>
      <c r="E77" s="274">
        <f>'[1]IceBank Account'!$U$4*'[1]IceBank Account'!H13*Efficiency</f>
        <v>0</v>
      </c>
      <c r="F77" s="295">
        <f t="shared" si="0"/>
        <v>461.69082125603859</v>
      </c>
      <c r="G77">
        <v>6</v>
      </c>
      <c r="H77" s="46">
        <f>IF('[1]IceBank Account'!B13="I",'[1]IceBank Account'!E13*$B$70*[2]Summary!$B$20,SUM(B77:E77)*[2]Summary!$B$15*[2]Summary!$B$19)</f>
        <v>351.69082125603859</v>
      </c>
      <c r="I77" s="46">
        <v>0</v>
      </c>
      <c r="J77" s="46">
        <f t="shared" si="1"/>
        <v>351.69082125603859</v>
      </c>
    </row>
    <row r="78" spans="1:10">
      <c r="A78">
        <f t="shared" si="2"/>
        <v>7</v>
      </c>
      <c r="B78" s="274">
        <f>IF('[1]IceBank Account'!B14="I",'[1]IceBank Account'!E14*$B$70*[2]Summary!$B$20,'[1]IceBank Account'!J14*[2]Summary!$B$19)</f>
        <v>80</v>
      </c>
      <c r="C78" s="274">
        <f>IF($C$70=0,0,IF('[1]IceBank Account'!B14="I",'[1]IceBank Account'!E14*$B$70,'[1]IceBank Account'!K14))</f>
        <v>0</v>
      </c>
      <c r="D78" s="274">
        <f>'[1]IceBank Account'!$P$4*'[1]IceBank Account'!G14*Efficiency</f>
        <v>110.00000000000001</v>
      </c>
      <c r="E78" s="274">
        <f>'[1]IceBank Account'!$U$4*'[1]IceBank Account'!H14*Efficiency</f>
        <v>0</v>
      </c>
      <c r="F78" s="295">
        <f t="shared" si="0"/>
        <v>190</v>
      </c>
      <c r="G78" s="286">
        <v>7</v>
      </c>
      <c r="H78" s="287">
        <f>IF('[1]IceBank Account'!B14="I",'[1]IceBank Account'!E14*$B$70*[2]Summary!$B$20,SUM(B78:E78)*[2]Summary!$B$15*[2]Summary!$B$19)</f>
        <v>30.400000000000002</v>
      </c>
      <c r="I78" s="287">
        <f>H78</f>
        <v>30.400000000000002</v>
      </c>
      <c r="J78" s="287">
        <f t="shared" si="1"/>
        <v>0</v>
      </c>
    </row>
    <row r="79" spans="1:10">
      <c r="A79">
        <f t="shared" si="2"/>
        <v>8</v>
      </c>
      <c r="B79" s="274">
        <f>IF('[1]IceBank Account'!B15="I",'[1]IceBank Account'!E15*$B$70*[2]Summary!$B$20,'[1]IceBank Account'!J15*[2]Summary!$B$19)</f>
        <v>160</v>
      </c>
      <c r="C79" s="274">
        <f>IF($C$70=0,0,IF('[1]IceBank Account'!B15="I",'[1]IceBank Account'!E15*$B$70,'[1]IceBank Account'!K15))</f>
        <v>0</v>
      </c>
      <c r="D79" s="274">
        <f>'[1]IceBank Account'!$P$4*'[1]IceBank Account'!G15*Efficiency</f>
        <v>110.00000000000001</v>
      </c>
      <c r="E79" s="274">
        <f>'[1]IceBank Account'!$U$4*'[1]IceBank Account'!H15*Efficiency</f>
        <v>0</v>
      </c>
      <c r="F79" s="295">
        <f t="shared" si="0"/>
        <v>270</v>
      </c>
      <c r="G79" s="286">
        <v>8</v>
      </c>
      <c r="H79" s="287">
        <f>IF('[1]IceBank Account'!B15="I",'[1]IceBank Account'!E15*$B$70*[2]Summary!$B$20,SUM(B79:E79)*[2]Summary!$B$15*[2]Summary!$B$19)</f>
        <v>43.2</v>
      </c>
      <c r="I79" s="287">
        <f t="shared" ref="I79:I81" si="3">H79</f>
        <v>43.2</v>
      </c>
      <c r="J79" s="287">
        <f t="shared" si="1"/>
        <v>0</v>
      </c>
    </row>
    <row r="80" spans="1:10">
      <c r="A80">
        <f t="shared" si="2"/>
        <v>9</v>
      </c>
      <c r="B80" s="274">
        <f>IF('[1]IceBank Account'!B16="I",'[1]IceBank Account'!E16*$B$70*[2]Summary!$B$20,'[1]IceBank Account'!J16*[2]Summary!$B$19)</f>
        <v>240</v>
      </c>
      <c r="C80" s="274">
        <f>IF($C$70=0,0,IF('[1]IceBank Account'!B16="I",'[1]IceBank Account'!E16*$B$70,'[1]IceBank Account'!K16))</f>
        <v>0</v>
      </c>
      <c r="D80" s="274">
        <f>'[1]IceBank Account'!$P$4*'[1]IceBank Account'!G16*Efficiency</f>
        <v>110.00000000000001</v>
      </c>
      <c r="E80" s="274">
        <f>'[1]IceBank Account'!$U$4*'[1]IceBank Account'!H16*Efficiency</f>
        <v>0</v>
      </c>
      <c r="F80" s="295">
        <f t="shared" si="0"/>
        <v>350</v>
      </c>
      <c r="G80" s="286">
        <v>9</v>
      </c>
      <c r="H80" s="287">
        <f>IF('[1]IceBank Account'!B16="I",'[1]IceBank Account'!E16*$B$70*[2]Summary!$B$20,SUM(B80:E80)*[2]Summary!$B$15*[2]Summary!$B$19)</f>
        <v>56</v>
      </c>
      <c r="I80" s="287">
        <f t="shared" si="3"/>
        <v>56</v>
      </c>
      <c r="J80" s="287">
        <f t="shared" si="1"/>
        <v>0</v>
      </c>
    </row>
    <row r="81" spans="1:10">
      <c r="A81">
        <f t="shared" si="2"/>
        <v>10</v>
      </c>
      <c r="B81" s="274">
        <f>IF('[1]IceBank Account'!B17="I",'[1]IceBank Account'!E17*$B$70*[2]Summary!$B$20,'[1]IceBank Account'!J17*[2]Summary!$B$19)</f>
        <v>320</v>
      </c>
      <c r="C81" s="274">
        <f>IF($C$70=0,0,IF('[1]IceBank Account'!B17="I",'[1]IceBank Account'!E17*$B$70,'[1]IceBank Account'!K17))</f>
        <v>0</v>
      </c>
      <c r="D81" s="274">
        <f>'[1]IceBank Account'!$P$4*'[1]IceBank Account'!G17*Efficiency</f>
        <v>110.00000000000001</v>
      </c>
      <c r="E81" s="274">
        <f>'[1]IceBank Account'!$U$4*'[1]IceBank Account'!H17*Efficiency</f>
        <v>0</v>
      </c>
      <c r="F81" s="295">
        <f t="shared" si="0"/>
        <v>430</v>
      </c>
      <c r="G81" s="286">
        <v>10</v>
      </c>
      <c r="H81" s="287">
        <f>IF('[1]IceBank Account'!B17="I",'[1]IceBank Account'!E17*$B$70*[2]Summary!$B$20,SUM(B81:E81)*[2]Summary!$B$15*[2]Summary!$B$19)</f>
        <v>68.8</v>
      </c>
      <c r="I81" s="287">
        <f t="shared" si="3"/>
        <v>68.8</v>
      </c>
      <c r="J81" s="287">
        <f t="shared" si="1"/>
        <v>0</v>
      </c>
    </row>
    <row r="82" spans="1:10">
      <c r="A82">
        <f t="shared" si="2"/>
        <v>11</v>
      </c>
      <c r="B82" s="274">
        <f>IF('[1]IceBank Account'!B18="I",'[1]IceBank Account'!E18*$B$70*[2]Summary!$B$20,'[1]IceBank Account'!J18*[2]Summary!$B$19)</f>
        <v>486.95652173913044</v>
      </c>
      <c r="C82" s="274">
        <f>IF($C$70=0,0,IF('[1]IceBank Account'!B18="I",'[1]IceBank Account'!E18*$B$70,'[1]IceBank Account'!K18))</f>
        <v>0</v>
      </c>
      <c r="D82" s="274">
        <f>'[1]IceBank Account'!$P$4*'[1]IceBank Account'!G18*Efficiency</f>
        <v>110.00000000000001</v>
      </c>
      <c r="E82" s="274">
        <f>'[1]IceBank Account'!$U$4*'[1]IceBank Account'!H18*Efficiency</f>
        <v>0</v>
      </c>
      <c r="F82" s="295">
        <f t="shared" si="0"/>
        <v>596.95652173913049</v>
      </c>
      <c r="G82">
        <v>11</v>
      </c>
      <c r="H82" s="46">
        <f>IF('[1]IceBank Account'!B18="I",'[1]IceBank Account'!E18*$B$70*[2]Summary!$B$20,SUM(B82:E82)*[2]Summary!$B$15*[2]Summary!$B$19)</f>
        <v>95.513043478260897</v>
      </c>
      <c r="I82" s="288">
        <f t="shared" ref="I82:I89" si="4">($I$98-SUM($I$78:$I$81,$I$90:$I$93))/8</f>
        <v>296.29082125603861</v>
      </c>
      <c r="J82" s="46">
        <f t="shared" si="1"/>
        <v>0</v>
      </c>
    </row>
    <row r="83" spans="1:10">
      <c r="A83">
        <f t="shared" si="2"/>
        <v>12</v>
      </c>
      <c r="B83" s="274">
        <f>IF('[1]IceBank Account'!B19="I",'[1]IceBank Account'!E19*$B$70*[2]Summary!$B$20,'[1]IceBank Account'!J19*[2]Summary!$B$19)</f>
        <v>486.95652173913044</v>
      </c>
      <c r="C83" s="274">
        <f>IF($C$70=0,0,IF('[1]IceBank Account'!B19="I",'[1]IceBank Account'!E19*$B$70,'[1]IceBank Account'!K19))</f>
        <v>0</v>
      </c>
      <c r="D83" s="274">
        <f>'[1]IceBank Account'!$P$4*'[1]IceBank Account'!G19*Efficiency</f>
        <v>110.00000000000001</v>
      </c>
      <c r="E83" s="274">
        <f>'[1]IceBank Account'!$U$4*'[1]IceBank Account'!H19*Efficiency</f>
        <v>0</v>
      </c>
      <c r="F83" s="295">
        <f t="shared" si="0"/>
        <v>596.95652173913049</v>
      </c>
      <c r="G83">
        <v>12</v>
      </c>
      <c r="H83" s="46">
        <f>IF('[1]IceBank Account'!B19="I",'[1]IceBank Account'!E19*$B$70*[2]Summary!$B$20,SUM(B83:E83)*[2]Summary!$B$15*[2]Summary!$B$19)</f>
        <v>95.513043478260897</v>
      </c>
      <c r="I83" s="288">
        <f t="shared" si="4"/>
        <v>296.29082125603861</v>
      </c>
      <c r="J83" s="46">
        <f t="shared" si="1"/>
        <v>0</v>
      </c>
    </row>
    <row r="84" spans="1:10">
      <c r="A84">
        <f t="shared" si="2"/>
        <v>13</v>
      </c>
      <c r="B84" s="274">
        <f>IF('[1]IceBank Account'!B20="I",'[1]IceBank Account'!E20*$B$70*[2]Summary!$B$20,'[1]IceBank Account'!J20*[2]Summary!$B$19)</f>
        <v>486.95652173913044</v>
      </c>
      <c r="C84" s="274">
        <f>IF($C$70=0,0,IF('[1]IceBank Account'!B20="I",'[1]IceBank Account'!E20*$B$70,'[1]IceBank Account'!K20))</f>
        <v>0</v>
      </c>
      <c r="D84" s="274">
        <f>'[1]IceBank Account'!$P$4*'[1]IceBank Account'!G20*Efficiency</f>
        <v>110.00000000000001</v>
      </c>
      <c r="E84" s="274">
        <f>'[1]IceBank Account'!$U$4*'[1]IceBank Account'!H20*Efficiency</f>
        <v>0</v>
      </c>
      <c r="F84" s="295">
        <f t="shared" si="0"/>
        <v>596.95652173913049</v>
      </c>
      <c r="G84">
        <v>13</v>
      </c>
      <c r="H84" s="46">
        <f>IF('[1]IceBank Account'!B20="I",'[1]IceBank Account'!E20*$B$70*[2]Summary!$B$20,SUM(B84:E84)*[2]Summary!$B$15*[2]Summary!$B$19)</f>
        <v>95.513043478260897</v>
      </c>
      <c r="I84" s="288">
        <f t="shared" si="4"/>
        <v>296.29082125603861</v>
      </c>
      <c r="J84" s="46">
        <f t="shared" si="1"/>
        <v>0</v>
      </c>
    </row>
    <row r="85" spans="1:10">
      <c r="A85">
        <f t="shared" si="2"/>
        <v>14</v>
      </c>
      <c r="B85" s="274">
        <f>IF('[1]IceBank Account'!B21="I",'[1]IceBank Account'!E21*$B$70*[2]Summary!$B$20,'[1]IceBank Account'!J21*[2]Summary!$B$19)</f>
        <v>486.95652173913044</v>
      </c>
      <c r="C85" s="274">
        <f>IF($C$70=0,0,IF('[1]IceBank Account'!B21="I",'[1]IceBank Account'!E21*$B$70,'[1]IceBank Account'!K21))</f>
        <v>0</v>
      </c>
      <c r="D85" s="274">
        <f>'[1]IceBank Account'!$P$4*'[1]IceBank Account'!G21*Efficiency</f>
        <v>110.00000000000001</v>
      </c>
      <c r="E85" s="274">
        <f>'[1]IceBank Account'!$U$4*'[1]IceBank Account'!H21*Efficiency</f>
        <v>0</v>
      </c>
      <c r="F85" s="295">
        <f t="shared" si="0"/>
        <v>596.95652173913049</v>
      </c>
      <c r="G85">
        <v>14</v>
      </c>
      <c r="H85" s="46">
        <f>IF('[1]IceBank Account'!B21="I",'[1]IceBank Account'!E21*$B$70*[2]Summary!$B$20,SUM(B85:E85)*[2]Summary!$B$15*[2]Summary!$B$19)</f>
        <v>95.513043478260897</v>
      </c>
      <c r="I85" s="288">
        <f t="shared" si="4"/>
        <v>296.29082125603861</v>
      </c>
      <c r="J85" s="46">
        <f t="shared" si="1"/>
        <v>0</v>
      </c>
    </row>
    <row r="86" spans="1:10">
      <c r="A86">
        <f t="shared" si="2"/>
        <v>15</v>
      </c>
      <c r="B86" s="274">
        <f>IF('[1]IceBank Account'!B22="I",'[1]IceBank Account'!E22*$B$70*[2]Summary!$B$20,'[1]IceBank Account'!J22*[2]Summary!$B$19)</f>
        <v>486.95652173913044</v>
      </c>
      <c r="C86" s="274">
        <f>IF($C$70=0,0,IF('[1]IceBank Account'!B22="I",'[1]IceBank Account'!E22*$B$70,'[1]IceBank Account'!K22))</f>
        <v>0</v>
      </c>
      <c r="D86" s="274">
        <f>'[1]IceBank Account'!$P$4*'[1]IceBank Account'!G22*Efficiency</f>
        <v>110.00000000000001</v>
      </c>
      <c r="E86" s="274">
        <f>'[1]IceBank Account'!$U$4*'[1]IceBank Account'!H22*Efficiency</f>
        <v>0</v>
      </c>
      <c r="F86" s="295">
        <f t="shared" si="0"/>
        <v>596.95652173913049</v>
      </c>
      <c r="G86">
        <v>15</v>
      </c>
      <c r="H86" s="46">
        <f>IF('[1]IceBank Account'!B22="I",'[1]IceBank Account'!E22*$B$70*[2]Summary!$B$20,SUM(B86:E86)*[2]Summary!$B$15*[2]Summary!$B$19)</f>
        <v>95.513043478260897</v>
      </c>
      <c r="I86" s="288">
        <f t="shared" si="4"/>
        <v>296.29082125603861</v>
      </c>
      <c r="J86" s="46">
        <f t="shared" si="1"/>
        <v>0</v>
      </c>
    </row>
    <row r="87" spans="1:10">
      <c r="A87">
        <f t="shared" si="2"/>
        <v>16</v>
      </c>
      <c r="B87" s="274">
        <f>IF('[1]IceBank Account'!B23="I",'[1]IceBank Account'!E23*$B$70*[2]Summary!$B$20,'[1]IceBank Account'!J23*[2]Summary!$B$19)</f>
        <v>0</v>
      </c>
      <c r="C87" s="274">
        <f>IF($C$70=0,0,IF('[1]IceBank Account'!B23="I",'[1]IceBank Account'!E23*$B$70,'[1]IceBank Account'!K23))</f>
        <v>0</v>
      </c>
      <c r="D87" s="274">
        <f>'[1]IceBank Account'!$P$4*'[1]IceBank Account'!G23*Efficiency</f>
        <v>0</v>
      </c>
      <c r="E87" s="274">
        <f>'[1]IceBank Account'!$U$4*'[1]IceBank Account'!H23*Efficiency</f>
        <v>0</v>
      </c>
      <c r="F87" s="295">
        <f t="shared" si="0"/>
        <v>0</v>
      </c>
      <c r="G87">
        <v>16</v>
      </c>
      <c r="H87" s="46">
        <f>IF('[1]IceBank Account'!B23="I",'[1]IceBank Account'!E23*$B$70*[2]Summary!$B$20,SUM(B87:E87)*[2]Summary!$B$15*[2]Summary!$B$19)</f>
        <v>0</v>
      </c>
      <c r="I87" s="288">
        <f t="shared" si="4"/>
        <v>296.29082125603861</v>
      </c>
      <c r="J87" s="46">
        <f t="shared" si="1"/>
        <v>0</v>
      </c>
    </row>
    <row r="88" spans="1:10">
      <c r="A88">
        <f t="shared" si="2"/>
        <v>17</v>
      </c>
      <c r="B88" s="274">
        <f>IF('[1]IceBank Account'!B24="I",'[1]IceBank Account'!E24*$B$70*[2]Summary!$B$20,'[1]IceBank Account'!J24*[2]Summary!$B$19)</f>
        <v>0</v>
      </c>
      <c r="C88" s="274">
        <f>IF($C$70=0,0,IF('[1]IceBank Account'!B24="I",'[1]IceBank Account'!E24*$B$70,'[1]IceBank Account'!K24))</f>
        <v>0</v>
      </c>
      <c r="D88" s="274">
        <f>'[1]IceBank Account'!$P$4*'[1]IceBank Account'!G24*Efficiency</f>
        <v>0</v>
      </c>
      <c r="E88" s="274">
        <f>'[1]IceBank Account'!$U$4*'[1]IceBank Account'!H24*Efficiency</f>
        <v>0</v>
      </c>
      <c r="F88" s="295">
        <f t="shared" si="0"/>
        <v>0</v>
      </c>
      <c r="G88">
        <v>17</v>
      </c>
      <c r="H88" s="46">
        <f>IF('[1]IceBank Account'!B24="I",'[1]IceBank Account'!E24*$B$70*[2]Summary!$B$20,SUM(B88:E88)*[2]Summary!$B$15*[2]Summary!$B$19)</f>
        <v>0</v>
      </c>
      <c r="I88" s="288">
        <f t="shared" si="4"/>
        <v>296.29082125603861</v>
      </c>
      <c r="J88" s="46">
        <f t="shared" si="1"/>
        <v>0</v>
      </c>
    </row>
    <row r="89" spans="1:10">
      <c r="A89">
        <f t="shared" si="2"/>
        <v>18</v>
      </c>
      <c r="B89" s="274">
        <f>IF('[1]IceBank Account'!B25="I",'[1]IceBank Account'!E25*$B$70*[2]Summary!$B$20,'[1]IceBank Account'!J25*[2]Summary!$B$19)</f>
        <v>0</v>
      </c>
      <c r="C89" s="274">
        <f>IF($C$70=0,0,IF('[1]IceBank Account'!B25="I",'[1]IceBank Account'!E25*$B$70,'[1]IceBank Account'!K25))</f>
        <v>0</v>
      </c>
      <c r="D89" s="274">
        <f>'[1]IceBank Account'!$P$4*'[1]IceBank Account'!G25*Efficiency</f>
        <v>0</v>
      </c>
      <c r="E89" s="274">
        <f>'[1]IceBank Account'!$U$4*'[1]IceBank Account'!H25*Efficiency</f>
        <v>0</v>
      </c>
      <c r="F89" s="295">
        <f t="shared" si="0"/>
        <v>0</v>
      </c>
      <c r="G89">
        <v>18</v>
      </c>
      <c r="H89" s="46">
        <f>IF('[1]IceBank Account'!B25="I",'[1]IceBank Account'!E25*$B$70*[2]Summary!$B$20,SUM(B89:E89)*[2]Summary!$B$15*[2]Summary!$B$19)</f>
        <v>0</v>
      </c>
      <c r="I89" s="288">
        <f t="shared" si="4"/>
        <v>296.29082125603861</v>
      </c>
      <c r="J89" s="46">
        <f t="shared" si="1"/>
        <v>0</v>
      </c>
    </row>
    <row r="90" spans="1:10">
      <c r="A90">
        <f t="shared" si="2"/>
        <v>19</v>
      </c>
      <c r="B90" s="274">
        <f>IF('[1]IceBank Account'!B26="I",'[1]IceBank Account'!E26*$B$70*[2]Summary!$B$20,'[1]IceBank Account'!J26*[2]Summary!$B$19)</f>
        <v>400</v>
      </c>
      <c r="C90" s="274">
        <f>IF($C$70=0,0,IF('[1]IceBank Account'!B26="I",'[1]IceBank Account'!E26*$B$70,'[1]IceBank Account'!K26))</f>
        <v>0</v>
      </c>
      <c r="D90" s="274">
        <f>'[1]IceBank Account'!$P$4*'[1]IceBank Account'!G26*Efficiency</f>
        <v>110.00000000000001</v>
      </c>
      <c r="E90" s="274">
        <f>'[1]IceBank Account'!$U$4*'[1]IceBank Account'!H26*Efficiency</f>
        <v>0</v>
      </c>
      <c r="F90" s="295">
        <f t="shared" si="0"/>
        <v>510</v>
      </c>
      <c r="G90" s="286">
        <v>19</v>
      </c>
      <c r="H90" s="287">
        <f>IF('[1]IceBank Account'!B26="I",'[1]IceBank Account'!E26*$B$70*[2]Summary!$B$20,SUM(B90:E90)*[2]Summary!$B$15*[2]Summary!$B$19)</f>
        <v>81.600000000000009</v>
      </c>
      <c r="I90" s="287">
        <f>H90</f>
        <v>81.600000000000009</v>
      </c>
      <c r="J90" s="287">
        <f t="shared" si="1"/>
        <v>0</v>
      </c>
    </row>
    <row r="91" spans="1:10">
      <c r="A91">
        <f t="shared" si="2"/>
        <v>20</v>
      </c>
      <c r="B91" s="274">
        <f>IF('[1]IceBank Account'!B27="I",'[1]IceBank Account'!E27*$B$70*[2]Summary!$B$20,'[1]IceBank Account'!J27*[2]Summary!$B$19)</f>
        <v>400</v>
      </c>
      <c r="C91" s="274">
        <f>IF($C$70=0,0,IF('[1]IceBank Account'!B27="I",'[1]IceBank Account'!E27*$B$70,'[1]IceBank Account'!K27))</f>
        <v>0</v>
      </c>
      <c r="D91" s="274">
        <f>'[1]IceBank Account'!$P$4*'[1]IceBank Account'!G27*Efficiency</f>
        <v>110.00000000000001</v>
      </c>
      <c r="E91" s="274">
        <f>'[1]IceBank Account'!$U$4*'[1]IceBank Account'!H27*Efficiency</f>
        <v>0</v>
      </c>
      <c r="F91" s="295">
        <f t="shared" si="0"/>
        <v>510</v>
      </c>
      <c r="G91" s="286">
        <v>20</v>
      </c>
      <c r="H91" s="287">
        <f>IF('[1]IceBank Account'!B27="I",'[1]IceBank Account'!E27*$B$70*[2]Summary!$B$20,SUM(B91:E91)*[2]Summary!$B$15*[2]Summary!$B$19)</f>
        <v>81.600000000000009</v>
      </c>
      <c r="I91" s="287">
        <f t="shared" ref="I91:I93" si="5">H91</f>
        <v>81.600000000000009</v>
      </c>
      <c r="J91" s="287">
        <f t="shared" si="1"/>
        <v>0</v>
      </c>
    </row>
    <row r="92" spans="1:10">
      <c r="A92">
        <f t="shared" si="2"/>
        <v>21</v>
      </c>
      <c r="B92" s="274">
        <f>IF('[1]IceBank Account'!B28="I",'[1]IceBank Account'!E28*$B$70*[2]Summary!$B$20,'[1]IceBank Account'!J28*[2]Summary!$B$19)</f>
        <v>400</v>
      </c>
      <c r="C92" s="274">
        <f>IF($C$70=0,0,IF('[1]IceBank Account'!B28="I",'[1]IceBank Account'!E28*$B$70,'[1]IceBank Account'!K28))</f>
        <v>0</v>
      </c>
      <c r="D92" s="274">
        <f>'[1]IceBank Account'!$P$4*'[1]IceBank Account'!G28*Efficiency</f>
        <v>110.00000000000001</v>
      </c>
      <c r="E92" s="274">
        <f>'[1]IceBank Account'!$U$4*'[1]IceBank Account'!H28*Efficiency</f>
        <v>0</v>
      </c>
      <c r="F92" s="295">
        <f t="shared" si="0"/>
        <v>510</v>
      </c>
      <c r="G92" s="286">
        <v>21</v>
      </c>
      <c r="H92" s="287">
        <f>IF('[1]IceBank Account'!B28="I",'[1]IceBank Account'!E28*$B$70*[2]Summary!$B$20,SUM(B92:E92)*[2]Summary!$B$15*[2]Summary!$B$19)</f>
        <v>81.600000000000009</v>
      </c>
      <c r="I92" s="287">
        <f t="shared" si="5"/>
        <v>81.600000000000009</v>
      </c>
      <c r="J92" s="287">
        <f t="shared" si="1"/>
        <v>0</v>
      </c>
    </row>
    <row r="93" spans="1:10">
      <c r="A93">
        <f t="shared" si="2"/>
        <v>22</v>
      </c>
      <c r="B93" s="274">
        <f>IF('[1]IceBank Account'!B29="I",'[1]IceBank Account'!E29*$B$70*[2]Summary!$B$20,'[1]IceBank Account'!J29*[2]Summary!$B$19)</f>
        <v>351.69082125603859</v>
      </c>
      <c r="C93" s="274">
        <f>IF($C$70=0,0,IF('[1]IceBank Account'!B29="I",'[1]IceBank Account'!E29*$B$70,'[1]IceBank Account'!K29))</f>
        <v>0</v>
      </c>
      <c r="D93" s="274">
        <f>'[1]IceBank Account'!$P$4*'[1]IceBank Account'!G29*Efficiency</f>
        <v>110.00000000000001</v>
      </c>
      <c r="E93" s="274">
        <f>'[1]IceBank Account'!$U$4*'[1]IceBank Account'!H29*Efficiency</f>
        <v>0</v>
      </c>
      <c r="F93" s="295">
        <f t="shared" si="0"/>
        <v>461.69082125603859</v>
      </c>
      <c r="G93" s="286">
        <v>22</v>
      </c>
      <c r="H93" s="287">
        <f>IF('[1]IceBank Account'!B29="I",'[1]IceBank Account'!E29*$B$70*[2]Summary!$B$20,SUM(B93:E93)*[2]Summary!$B$15*[2]Summary!$B$19)</f>
        <v>351.69082125603859</v>
      </c>
      <c r="I93" s="287">
        <f t="shared" si="5"/>
        <v>351.69082125603859</v>
      </c>
      <c r="J93" s="287">
        <f t="shared" si="1"/>
        <v>0</v>
      </c>
    </row>
    <row r="94" spans="1:10">
      <c r="A94">
        <f t="shared" si="2"/>
        <v>23</v>
      </c>
      <c r="B94" s="274">
        <f>IF('[1]IceBank Account'!B30="I",'[1]IceBank Account'!E30*$B$70*[2]Summary!$B$20,'[1]IceBank Account'!J30*[2]Summary!$B$19)</f>
        <v>351.69082125603859</v>
      </c>
      <c r="C94" s="274">
        <f>IF($C$70=0,0,IF('[1]IceBank Account'!B30="I",'[1]IceBank Account'!E30*$B$70,'[1]IceBank Account'!K30))</f>
        <v>0</v>
      </c>
      <c r="D94" s="274">
        <f>'[1]IceBank Account'!$P$4*'[1]IceBank Account'!G30*Efficiency</f>
        <v>110.00000000000001</v>
      </c>
      <c r="E94" s="274">
        <f>'[1]IceBank Account'!$U$4*'[1]IceBank Account'!H30*Efficiency</f>
        <v>0</v>
      </c>
      <c r="F94" s="295">
        <f t="shared" si="0"/>
        <v>461.69082125603859</v>
      </c>
      <c r="G94">
        <v>23</v>
      </c>
      <c r="H94" s="46">
        <f>IF('[1]IceBank Account'!B30="I",'[1]IceBank Account'!E30*$B$70*[2]Summary!$B$20,SUM(B94:E94)*[2]Summary!$B$15*[2]Summary!$B$19)</f>
        <v>351.69082125603859</v>
      </c>
      <c r="I94" s="46">
        <v>0</v>
      </c>
      <c r="J94" s="46">
        <f t="shared" si="1"/>
        <v>351.69082125603859</v>
      </c>
    </row>
    <row r="95" spans="1:10">
      <c r="A95">
        <f t="shared" si="2"/>
        <v>24</v>
      </c>
      <c r="B95" s="274">
        <f>IF('[1]IceBank Account'!B31="I",'[1]IceBank Account'!E31*$B$70*[2]Summary!$B$20,'[1]IceBank Account'!J31*[2]Summary!$B$19)</f>
        <v>351.69082125603859</v>
      </c>
      <c r="C95" s="274">
        <f>IF($C$70=0,0,IF('[1]IceBank Account'!B31="I",'[1]IceBank Account'!E31*$B$70,'[1]IceBank Account'!K31))</f>
        <v>0</v>
      </c>
      <c r="D95" s="274">
        <f>'[1]IceBank Account'!$P$4*'[1]IceBank Account'!G31*Efficiency</f>
        <v>110.00000000000001</v>
      </c>
      <c r="E95" s="274">
        <f>'[1]IceBank Account'!$U$4*'[1]IceBank Account'!H31*Efficiency</f>
        <v>0</v>
      </c>
      <c r="F95" s="295">
        <f t="shared" si="0"/>
        <v>461.69082125603859</v>
      </c>
      <c r="G95">
        <v>24</v>
      </c>
      <c r="H95" s="46">
        <f>IF('[1]IceBank Account'!B31="I",'[1]IceBank Account'!E31*$B$70*[2]Summary!$B$20,SUM(B95:E95)*[2]Summary!$B$15*[2]Summary!$B$19)</f>
        <v>351.69082125603859</v>
      </c>
      <c r="I95" s="46">
        <v>0</v>
      </c>
      <c r="J95" s="46">
        <f t="shared" si="1"/>
        <v>351.69082125603859</v>
      </c>
    </row>
    <row r="96" spans="1:10">
      <c r="F96" s="295"/>
      <c r="I96" s="46"/>
    </row>
    <row r="97" spans="6:9">
      <c r="F97" s="295"/>
      <c r="H97" s="293" t="s">
        <v>211</v>
      </c>
      <c r="I97" s="292">
        <f>'[1]IceBank Account'!M33</f>
        <v>3956.5217391304341</v>
      </c>
    </row>
    <row r="98" spans="6:9">
      <c r="H98" s="293" t="s">
        <v>212</v>
      </c>
      <c r="I98" s="292">
        <f>I97*[2]Summary!$B$19</f>
        <v>3165.2173913043475</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98"/>
  <sheetViews>
    <sheetView showGridLines="0" zoomScale="80" zoomScaleNormal="80" workbookViewId="0">
      <selection activeCell="B20" sqref="B20"/>
    </sheetView>
  </sheetViews>
  <sheetFormatPr defaultRowHeight="14.5"/>
  <cols>
    <col min="1" max="1" width="33.453125" customWidth="1"/>
    <col min="2" max="2" width="15.1796875" customWidth="1"/>
    <col min="6" max="6" width="36.1796875" customWidth="1"/>
    <col min="7" max="7" width="20" customWidth="1"/>
    <col min="8" max="8" width="13.453125" customWidth="1"/>
    <col min="11" max="11" width="32.54296875" customWidth="1"/>
    <col min="12" max="12" width="16.26953125" customWidth="1"/>
    <col min="13" max="13" width="13.453125" customWidth="1"/>
  </cols>
  <sheetData>
    <row r="1" spans="1:14">
      <c r="A1" s="175" t="s">
        <v>285</v>
      </c>
    </row>
    <row r="2" spans="1:14">
      <c r="A2" t="s">
        <v>330</v>
      </c>
    </row>
    <row r="5" spans="1:14">
      <c r="A5" s="278" t="s">
        <v>261</v>
      </c>
      <c r="B5" s="259"/>
      <c r="F5" s="175" t="s">
        <v>161</v>
      </c>
      <c r="K5" s="175" t="s">
        <v>176</v>
      </c>
    </row>
    <row r="6" spans="1:14">
      <c r="A6" s="248" t="s">
        <v>192</v>
      </c>
      <c r="B6" s="279">
        <v>210.99</v>
      </c>
      <c r="F6" t="s">
        <v>174</v>
      </c>
      <c r="G6" s="271">
        <f>MAX('IceBank Account'!$C$8:$C$31)</f>
        <v>250</v>
      </c>
      <c r="K6" t="s">
        <v>177</v>
      </c>
      <c r="L6" s="271">
        <f>Summary!$I$6</f>
        <v>250</v>
      </c>
    </row>
    <row r="7" spans="1:14">
      <c r="A7" s="248" t="s">
        <v>250</v>
      </c>
      <c r="B7" s="257"/>
      <c r="K7" t="s">
        <v>178</v>
      </c>
      <c r="L7">
        <f>'IceBank Account'!$Q$33</f>
        <v>4</v>
      </c>
    </row>
    <row r="8" spans="1:14">
      <c r="A8" s="248" t="s">
        <v>255</v>
      </c>
      <c r="B8" s="280">
        <v>12.8</v>
      </c>
      <c r="F8" s="191" t="s">
        <v>162</v>
      </c>
      <c r="K8" s="191" t="s">
        <v>162</v>
      </c>
    </row>
    <row r="9" spans="1:14">
      <c r="A9" s="248" t="s">
        <v>256</v>
      </c>
      <c r="B9" s="257">
        <v>9.7820000000000004E-2</v>
      </c>
      <c r="F9" s="258" t="s">
        <v>250</v>
      </c>
      <c r="G9" s="284" t="s">
        <v>163</v>
      </c>
      <c r="H9" s="245" t="s">
        <v>164</v>
      </c>
      <c r="I9" s="12"/>
      <c r="K9" s="258" t="s">
        <v>250</v>
      </c>
      <c r="L9" s="284" t="s">
        <v>163</v>
      </c>
      <c r="M9" s="245" t="s">
        <v>164</v>
      </c>
      <c r="N9" s="12"/>
    </row>
    <row r="10" spans="1:14">
      <c r="A10" s="248" t="s">
        <v>252</v>
      </c>
      <c r="B10" s="257">
        <v>3.6889999999999999E-2</v>
      </c>
      <c r="F10" t="s">
        <v>190</v>
      </c>
      <c r="G10" s="283" t="s">
        <v>196</v>
      </c>
      <c r="H10" s="260">
        <f>B6</f>
        <v>210.99</v>
      </c>
      <c r="K10" t="s">
        <v>190</v>
      </c>
      <c r="L10" s="283" t="s">
        <v>196</v>
      </c>
      <c r="M10" s="260">
        <f>B6</f>
        <v>210.99</v>
      </c>
    </row>
    <row r="11" spans="1:14">
      <c r="A11" s="248" t="s">
        <v>253</v>
      </c>
      <c r="B11" s="257"/>
      <c r="F11" t="s">
        <v>191</v>
      </c>
      <c r="G11" s="281">
        <f>B24</f>
        <v>275</v>
      </c>
      <c r="H11" s="260">
        <f>G11*$B$8</f>
        <v>3520</v>
      </c>
      <c r="K11" t="s">
        <v>191</v>
      </c>
      <c r="L11" s="281">
        <f>B32</f>
        <v>143.75</v>
      </c>
      <c r="M11" s="260">
        <f>L11*$B$16</f>
        <v>1668.9375</v>
      </c>
    </row>
    <row r="12" spans="1:14">
      <c r="A12" s="248" t="s">
        <v>251</v>
      </c>
      <c r="B12" s="280">
        <v>11.61</v>
      </c>
      <c r="F12" t="s">
        <v>198</v>
      </c>
      <c r="G12" s="282">
        <f>B27</f>
        <v>5445</v>
      </c>
      <c r="H12" s="260">
        <f>G12*$B$9</f>
        <v>532.62990000000002</v>
      </c>
      <c r="K12" t="s">
        <v>198</v>
      </c>
      <c r="L12" s="282">
        <f>B36</f>
        <v>5692.5</v>
      </c>
      <c r="M12" s="260">
        <f>L12*$B$17</f>
        <v>377.92507500000005</v>
      </c>
    </row>
    <row r="13" spans="1:14">
      <c r="A13" s="248" t="s">
        <v>257</v>
      </c>
      <c r="B13" s="257">
        <v>6.6390000000000005E-2</v>
      </c>
      <c r="F13" t="s">
        <v>199</v>
      </c>
      <c r="G13" s="282">
        <f>B28</f>
        <v>43257.5</v>
      </c>
      <c r="H13" s="260">
        <f>G13*B10</f>
        <v>1595.7691749999999</v>
      </c>
      <c r="K13" t="s">
        <v>199</v>
      </c>
      <c r="L13" s="282">
        <f>B37</f>
        <v>45858.394495412831</v>
      </c>
      <c r="M13" s="260">
        <f>L13*B10</f>
        <v>1691.7161729357792</v>
      </c>
    </row>
    <row r="14" spans="1:14">
      <c r="A14" s="248" t="s">
        <v>252</v>
      </c>
      <c r="B14" s="257">
        <v>3.542E-2</v>
      </c>
      <c r="F14" s="175" t="s">
        <v>165</v>
      </c>
      <c r="G14" s="175"/>
      <c r="H14" s="222">
        <f>SUM(H10:H13)</f>
        <v>5859.3890749999991</v>
      </c>
      <c r="I14" t="s">
        <v>263</v>
      </c>
      <c r="K14" s="175" t="s">
        <v>165</v>
      </c>
      <c r="L14" s="175"/>
      <c r="M14" s="222">
        <f>SUM(M10:M13)</f>
        <v>3949.5687479357794</v>
      </c>
      <c r="N14" t="s">
        <v>263</v>
      </c>
    </row>
    <row r="15" spans="1:14">
      <c r="A15" s="248" t="s">
        <v>254</v>
      </c>
      <c r="B15" s="257"/>
      <c r="F15" s="176" t="s">
        <v>324</v>
      </c>
      <c r="G15" s="284" t="s">
        <v>163</v>
      </c>
      <c r="H15" s="245" t="s">
        <v>164</v>
      </c>
      <c r="K15" s="176" t="s">
        <v>324</v>
      </c>
      <c r="L15" s="284" t="s">
        <v>163</v>
      </c>
      <c r="M15" s="245" t="s">
        <v>164</v>
      </c>
    </row>
    <row r="16" spans="1:14">
      <c r="A16" s="248" t="s">
        <v>258</v>
      </c>
      <c r="B16" s="280">
        <v>11.61</v>
      </c>
      <c r="F16" t="s">
        <v>190</v>
      </c>
      <c r="G16" s="283" t="s">
        <v>196</v>
      </c>
      <c r="H16" s="260">
        <f>B6</f>
        <v>210.99</v>
      </c>
      <c r="K16" t="s">
        <v>190</v>
      </c>
      <c r="L16" s="283" t="s">
        <v>196</v>
      </c>
      <c r="M16" s="260">
        <f>B6</f>
        <v>210.99</v>
      </c>
    </row>
    <row r="17" spans="1:14">
      <c r="A17" s="248" t="s">
        <v>259</v>
      </c>
      <c r="B17" s="257">
        <v>6.6390000000000005E-2</v>
      </c>
      <c r="F17" t="s">
        <v>191</v>
      </c>
      <c r="G17" s="281">
        <f>B24</f>
        <v>275</v>
      </c>
      <c r="H17" s="260">
        <f>G17*$B$12</f>
        <v>3192.75</v>
      </c>
      <c r="K17" t="s">
        <v>191</v>
      </c>
      <c r="L17" s="281">
        <f>B41</f>
        <v>133.95945945945945</v>
      </c>
      <c r="M17" s="260">
        <f>L17*$B$12</f>
        <v>1555.2693243243241</v>
      </c>
    </row>
    <row r="18" spans="1:14">
      <c r="A18" s="248" t="s">
        <v>260</v>
      </c>
      <c r="B18" s="257">
        <v>3.542E-2</v>
      </c>
      <c r="F18" t="s">
        <v>198</v>
      </c>
      <c r="G18" s="282">
        <f>B27</f>
        <v>5445</v>
      </c>
      <c r="H18" s="260">
        <f>G18*$B$13</f>
        <v>361.49355000000003</v>
      </c>
      <c r="K18" t="s">
        <v>198</v>
      </c>
      <c r="L18" s="282">
        <f>L17*9*22</f>
        <v>26523.97297297297</v>
      </c>
      <c r="M18" s="260">
        <f>L18*$B$13</f>
        <v>1760.9265656756756</v>
      </c>
    </row>
    <row r="19" spans="1:14" ht="15" thickBot="1">
      <c r="A19" s="289" t="s">
        <v>209</v>
      </c>
      <c r="B19" s="290">
        <f>Tax</f>
        <v>0.08</v>
      </c>
      <c r="F19" t="s">
        <v>199</v>
      </c>
      <c r="G19" s="282">
        <f>B29-G18</f>
        <v>43257.5</v>
      </c>
      <c r="H19" s="260">
        <f>G19*$B$14</f>
        <v>1532.18065</v>
      </c>
      <c r="K19" t="s">
        <v>199</v>
      </c>
      <c r="L19" s="282">
        <f>B47-L18</f>
        <v>25026.921522439869</v>
      </c>
      <c r="M19" s="260">
        <f>L19*B14</f>
        <v>886.45356032482016</v>
      </c>
    </row>
    <row r="20" spans="1:14" ht="15" thickBot="1">
      <c r="F20" s="222" t="s">
        <v>165</v>
      </c>
      <c r="G20" s="222"/>
      <c r="H20" s="222">
        <f>SUM(H16:H19)</f>
        <v>5297.4142000000002</v>
      </c>
      <c r="I20" t="s">
        <v>325</v>
      </c>
      <c r="J20" s="260"/>
      <c r="K20" s="222" t="s">
        <v>165</v>
      </c>
      <c r="L20" s="222"/>
      <c r="M20" s="222">
        <f>SUM(M16:M19)</f>
        <v>4413.6394503248202</v>
      </c>
      <c r="N20" t="s">
        <v>325</v>
      </c>
    </row>
    <row r="21" spans="1:14">
      <c r="A21" s="305" t="s">
        <v>202</v>
      </c>
      <c r="B21" s="306"/>
      <c r="C21" s="306"/>
      <c r="D21" s="307"/>
      <c r="F21" s="176" t="str">
        <f>"Nov-March ("&amp;Months-7&amp;" months cooling)"</f>
        <v>Nov-March (2 months cooling)</v>
      </c>
      <c r="G21" s="284" t="s">
        <v>163</v>
      </c>
      <c r="H21" s="245" t="s">
        <v>164</v>
      </c>
      <c r="J21" s="260"/>
      <c r="K21" s="176" t="str">
        <f>"Nov-March ("&amp;[2]Summary!B13-7&amp;" months cooling)"</f>
        <v>Nov-March (7493 months cooling)</v>
      </c>
      <c r="L21" s="284" t="s">
        <v>163</v>
      </c>
      <c r="M21" s="245" t="s">
        <v>164</v>
      </c>
    </row>
    <row r="22" spans="1:14">
      <c r="A22" s="308" t="s">
        <v>166</v>
      </c>
      <c r="B22" s="309"/>
      <c r="C22" s="309"/>
      <c r="D22" s="310"/>
      <c r="F22" t="s">
        <v>190</v>
      </c>
      <c r="G22" s="283" t="s">
        <v>196</v>
      </c>
      <c r="H22" s="260">
        <f>B6</f>
        <v>210.99</v>
      </c>
      <c r="J22" s="260"/>
      <c r="K22" t="s">
        <v>190</v>
      </c>
      <c r="L22" s="283" t="s">
        <v>196</v>
      </c>
      <c r="M22" s="260">
        <f>B6</f>
        <v>210.99</v>
      </c>
    </row>
    <row r="23" spans="1:14">
      <c r="A23" s="178" t="s">
        <v>309</v>
      </c>
      <c r="B23" s="311">
        <f>AVERAGE('IceBank Account'!$C$8:$C$31)*Efficiency</f>
        <v>92.239583333333343</v>
      </c>
      <c r="C23" s="312"/>
      <c r="D23" s="310"/>
      <c r="F23" t="s">
        <v>191</v>
      </c>
      <c r="G23" s="281">
        <f>G17*Shoulder</f>
        <v>137.5</v>
      </c>
      <c r="H23" s="260">
        <f>G23*$B$16</f>
        <v>1596.375</v>
      </c>
      <c r="J23" s="260"/>
      <c r="K23" t="s">
        <v>191</v>
      </c>
      <c r="L23" s="281">
        <v>0</v>
      </c>
      <c r="M23" s="260">
        <f>L23*$B$16</f>
        <v>0</v>
      </c>
    </row>
    <row r="24" spans="1:14">
      <c r="A24" s="178" t="s">
        <v>264</v>
      </c>
      <c r="B24" s="311">
        <f>MAX('IceBank Account'!$C$8:$C$31)*Efficiency</f>
        <v>275</v>
      </c>
      <c r="C24" s="317" t="s">
        <v>326</v>
      </c>
      <c r="D24" s="310"/>
      <c r="F24" t="s">
        <v>198</v>
      </c>
      <c r="G24" s="282">
        <f>G18*Shoulder</f>
        <v>2722.5</v>
      </c>
      <c r="H24" s="260">
        <f>G24*$B$17</f>
        <v>180.74677500000001</v>
      </c>
      <c r="K24" t="s">
        <v>198</v>
      </c>
      <c r="L24" s="282">
        <f>B54</f>
        <v>5956.5252293577978</v>
      </c>
      <c r="M24" s="260">
        <f>L24*$B$17</f>
        <v>395.45370997706425</v>
      </c>
    </row>
    <row r="25" spans="1:14">
      <c r="A25" s="178" t="s">
        <v>186</v>
      </c>
      <c r="B25" s="313">
        <f>SUM('IceBank Account'!$C$8:$C$31)*Efficiency</f>
        <v>2213.75</v>
      </c>
      <c r="C25" s="309"/>
      <c r="D25" s="310"/>
      <c r="F25" t="s">
        <v>199</v>
      </c>
      <c r="G25" s="282">
        <f>G19*Shoulder</f>
        <v>21628.75</v>
      </c>
      <c r="H25" s="260">
        <f>G25*$B$18</f>
        <v>766.09032500000001</v>
      </c>
      <c r="K25" t="s">
        <v>199</v>
      </c>
      <c r="L25" s="282">
        <f>B55</f>
        <v>19818.922018348618</v>
      </c>
      <c r="M25" s="260">
        <f>L25*B18</f>
        <v>701.98621788990806</v>
      </c>
    </row>
    <row r="26" spans="1:14">
      <c r="A26" s="178" t="s">
        <v>187</v>
      </c>
      <c r="B26" s="313">
        <f>B25*Weekend</f>
        <v>0</v>
      </c>
      <c r="C26" s="309"/>
      <c r="D26" s="310"/>
      <c r="F26" s="222" t="s">
        <v>165</v>
      </c>
      <c r="G26" s="222"/>
      <c r="H26" s="222">
        <f>SUM(H22:H25)</f>
        <v>2754.2021</v>
      </c>
      <c r="I26" t="str">
        <f>"x "&amp;Months-7&amp;" months"</f>
        <v>x 2 months</v>
      </c>
      <c r="K26" s="222" t="s">
        <v>165</v>
      </c>
      <c r="L26" s="222"/>
      <c r="M26" s="222">
        <f>SUM(M22:M25)</f>
        <v>1308.4299278669723</v>
      </c>
      <c r="N26" t="str">
        <f>"x "&amp;Months-7&amp;" months"</f>
        <v>x 2 months</v>
      </c>
    </row>
    <row r="27" spans="1:14">
      <c r="A27" s="178" t="s">
        <v>311</v>
      </c>
      <c r="B27" s="313">
        <f>22*SUM('IceBank Account'!C23:$C$25)*Efficiency</f>
        <v>5445</v>
      </c>
      <c r="C27" s="317" t="s">
        <v>326</v>
      </c>
      <c r="D27" s="310"/>
    </row>
    <row r="28" spans="1:14">
      <c r="A28" s="178" t="s">
        <v>313</v>
      </c>
      <c r="B28" s="313">
        <f>B29-B27</f>
        <v>43257.5</v>
      </c>
      <c r="C28" s="309"/>
      <c r="D28" s="310"/>
      <c r="F28" s="260" t="s">
        <v>169</v>
      </c>
      <c r="G28" s="260"/>
      <c r="H28" s="260">
        <f>H14*4+H20*3+(H26*(Months-5))</f>
        <v>50346.607299999996</v>
      </c>
      <c r="K28" s="260" t="s">
        <v>169</v>
      </c>
      <c r="L28" s="260"/>
      <c r="M28" s="260">
        <f>M14*4+M20*3+(M26*(Months-5))</f>
        <v>34272.913054185468</v>
      </c>
    </row>
    <row r="29" spans="1:14">
      <c r="A29" s="178" t="s">
        <v>175</v>
      </c>
      <c r="B29" s="313">
        <f>(22*B25)+(8*B26)</f>
        <v>48702.5</v>
      </c>
      <c r="C29" s="317" t="s">
        <v>295</v>
      </c>
      <c r="D29" s="310"/>
      <c r="F29" s="222" t="s">
        <v>214</v>
      </c>
      <c r="G29" s="222"/>
      <c r="H29" s="222">
        <f>H28*(1+Tax)</f>
        <v>54374.335884</v>
      </c>
      <c r="K29" s="222" t="s">
        <v>214</v>
      </c>
      <c r="L29" s="222"/>
      <c r="M29" s="222">
        <f>M28*(1+Tax)</f>
        <v>37014.746098520307</v>
      </c>
    </row>
    <row r="30" spans="1:14">
      <c r="A30" s="314" t="s">
        <v>206</v>
      </c>
      <c r="B30" s="315"/>
      <c r="C30" s="315"/>
      <c r="D30" s="316"/>
    </row>
    <row r="31" spans="1:14" ht="15" thickBot="1">
      <c r="A31" s="178" t="s">
        <v>309</v>
      </c>
      <c r="B31" s="311">
        <f>AVERAGE('Cover Page'!$I$117:$I$140)</f>
        <v>97.63426987767582</v>
      </c>
      <c r="C31" s="309"/>
      <c r="D31" s="310"/>
    </row>
    <row r="32" spans="1:14" ht="15.5">
      <c r="A32" s="178" t="s">
        <v>264</v>
      </c>
      <c r="B32" s="311">
        <f>MAX('Cover Page'!$I$132:$I$134)</f>
        <v>143.75</v>
      </c>
      <c r="C32" s="317" t="s">
        <v>326</v>
      </c>
      <c r="D32" s="310"/>
      <c r="F32" s="261" t="s">
        <v>170</v>
      </c>
      <c r="G32" s="262"/>
    </row>
    <row r="33" spans="1:7" ht="15.5">
      <c r="A33" s="178" t="s">
        <v>200</v>
      </c>
      <c r="B33" s="313">
        <f>SUM('Cover Page'!$I$132:$I$134)</f>
        <v>258.75</v>
      </c>
      <c r="C33" s="317" t="s">
        <v>326</v>
      </c>
      <c r="D33" s="310"/>
      <c r="F33" s="263" t="s">
        <v>166</v>
      </c>
      <c r="G33" s="264">
        <f>H29</f>
        <v>54374.335884</v>
      </c>
    </row>
    <row r="34" spans="1:7" ht="16" thickBot="1">
      <c r="A34" s="178" t="s">
        <v>201</v>
      </c>
      <c r="B34" s="313">
        <f>'Cover Page'!$I$142-B33</f>
        <v>2084.4724770642197</v>
      </c>
      <c r="C34" s="309"/>
      <c r="D34" s="310"/>
      <c r="F34" s="265" t="s">
        <v>171</v>
      </c>
      <c r="G34" s="266">
        <f>M29</f>
        <v>37014.746098520307</v>
      </c>
    </row>
    <row r="35" spans="1:7" ht="16" thickTop="1">
      <c r="A35" s="178" t="s">
        <v>187</v>
      </c>
      <c r="B35" s="313">
        <f>(B33+B34)*Weekend</f>
        <v>0</v>
      </c>
      <c r="C35" s="309"/>
      <c r="D35" s="310"/>
      <c r="F35" s="267" t="s">
        <v>172</v>
      </c>
      <c r="G35" s="268">
        <f>G33-G34</f>
        <v>17359.589785479693</v>
      </c>
    </row>
    <row r="36" spans="1:7" ht="16" thickBot="1">
      <c r="A36" s="178" t="s">
        <v>311</v>
      </c>
      <c r="B36" s="313">
        <f>B33*22</f>
        <v>5692.5</v>
      </c>
      <c r="C36" s="317" t="s">
        <v>326</v>
      </c>
      <c r="D36" s="310"/>
      <c r="F36" s="269" t="s">
        <v>173</v>
      </c>
      <c r="G36" s="270">
        <f>G35/G33</f>
        <v>0.31926072297257913</v>
      </c>
    </row>
    <row r="37" spans="1:7">
      <c r="A37" s="178" t="s">
        <v>313</v>
      </c>
      <c r="B37" s="313">
        <f>(22*B34)+(8*B35)</f>
        <v>45858.394495412831</v>
      </c>
      <c r="C37" s="309"/>
      <c r="D37" s="310"/>
    </row>
    <row r="38" spans="1:7">
      <c r="A38" s="318" t="s">
        <v>175</v>
      </c>
      <c r="B38" s="319">
        <f>B36+B37</f>
        <v>51550.894495412831</v>
      </c>
      <c r="C38" s="351" t="s">
        <v>295</v>
      </c>
      <c r="D38" s="320"/>
    </row>
    <row r="39" spans="1:7">
      <c r="A39" s="308" t="s">
        <v>335</v>
      </c>
      <c r="B39" s="309"/>
      <c r="C39" s="309"/>
      <c r="D39" s="310"/>
    </row>
    <row r="40" spans="1:7">
      <c r="A40" s="178" t="s">
        <v>167</v>
      </c>
      <c r="B40" s="311">
        <f>AVERAGE('Cover Page'!$I$117:$I$140)</f>
        <v>97.63426987767582</v>
      </c>
      <c r="C40" s="309"/>
      <c r="D40" s="310"/>
    </row>
    <row r="41" spans="1:7">
      <c r="A41" s="178" t="s">
        <v>264</v>
      </c>
      <c r="B41" s="311">
        <f>Shoulder_kW</f>
        <v>133.95945945945945</v>
      </c>
      <c r="C41" s="317" t="s">
        <v>312</v>
      </c>
      <c r="D41" s="310"/>
    </row>
    <row r="42" spans="1:7">
      <c r="A42" s="178" t="s">
        <v>200</v>
      </c>
      <c r="B42" s="313">
        <f>SUM('Cover Page'!$I$129:$I$137)</f>
        <v>769.12844036697243</v>
      </c>
      <c r="C42" s="317" t="s">
        <v>312</v>
      </c>
      <c r="D42" s="310"/>
    </row>
    <row r="43" spans="1:7">
      <c r="A43" s="178" t="s">
        <v>201</v>
      </c>
      <c r="B43" s="313">
        <f>'Cover Page'!$I$142-B42</f>
        <v>1574.0940366972472</v>
      </c>
      <c r="C43" s="309"/>
      <c r="D43" s="310"/>
    </row>
    <row r="44" spans="1:7">
      <c r="A44" s="178" t="s">
        <v>187</v>
      </c>
      <c r="B44" s="313">
        <f>(B42+B43)*Weekend</f>
        <v>0</v>
      </c>
      <c r="C44" s="309"/>
      <c r="D44" s="310"/>
    </row>
    <row r="45" spans="1:7">
      <c r="A45" s="178" t="s">
        <v>311</v>
      </c>
      <c r="B45" s="313">
        <f>B42*22</f>
        <v>16920.825688073393</v>
      </c>
      <c r="C45" s="317" t="s">
        <v>312</v>
      </c>
      <c r="D45" s="310"/>
    </row>
    <row r="46" spans="1:7">
      <c r="A46" s="178" t="s">
        <v>313</v>
      </c>
      <c r="B46" s="313">
        <f>(22*B43)+(8*B44)</f>
        <v>34630.068807339441</v>
      </c>
      <c r="C46" s="309"/>
      <c r="D46" s="310"/>
    </row>
    <row r="47" spans="1:7" ht="15" thickBot="1">
      <c r="A47" s="321" t="s">
        <v>175</v>
      </c>
      <c r="B47" s="319">
        <f>B45+B46</f>
        <v>51550.894495412838</v>
      </c>
      <c r="C47" s="323"/>
      <c r="D47" s="324"/>
    </row>
    <row r="48" spans="1:7">
      <c r="A48" s="308" t="s">
        <v>296</v>
      </c>
      <c r="B48" s="309"/>
      <c r="C48" s="309"/>
      <c r="D48" s="310"/>
    </row>
    <row r="49" spans="1:5">
      <c r="A49" s="178" t="s">
        <v>167</v>
      </c>
      <c r="B49" s="311">
        <f>B40*Shoulder</f>
        <v>48.81713493883791</v>
      </c>
      <c r="C49" s="309"/>
      <c r="D49" s="310"/>
    </row>
    <row r="50" spans="1:5">
      <c r="A50" s="178" t="s">
        <v>264</v>
      </c>
      <c r="B50" s="311">
        <f>MAX('Cover Page'!$I$123:$I$126,'Cover Page'!$I$135:$I$138)*Shoulder</f>
        <v>85.063073394495405</v>
      </c>
      <c r="C50" s="317" t="s">
        <v>327</v>
      </c>
      <c r="D50" s="310"/>
      <c r="E50" t="s">
        <v>316</v>
      </c>
    </row>
    <row r="51" spans="1:5">
      <c r="A51" s="178" t="s">
        <v>200</v>
      </c>
      <c r="B51" s="313">
        <f>SUM('Cover Page'!$I$123:$I$126,'Cover Page'!$I$135:$I$138)*Shoulder</f>
        <v>270.75114678899081</v>
      </c>
      <c r="C51" s="317" t="s">
        <v>327</v>
      </c>
      <c r="D51" s="310"/>
    </row>
    <row r="52" spans="1:5">
      <c r="A52" s="178" t="s">
        <v>201</v>
      </c>
      <c r="B52" s="313">
        <f>('Cover Page'!$I$142*Shoulder)-B51</f>
        <v>900.86009174311903</v>
      </c>
      <c r="C52" s="309"/>
      <c r="D52" s="310"/>
    </row>
    <row r="53" spans="1:5">
      <c r="A53" s="178" t="s">
        <v>187</v>
      </c>
      <c r="B53" s="313">
        <f>(B51+B52)*Weekend</f>
        <v>0</v>
      </c>
      <c r="C53" s="309"/>
      <c r="D53" s="310"/>
    </row>
    <row r="54" spans="1:5">
      <c r="A54" s="178" t="s">
        <v>311</v>
      </c>
      <c r="B54" s="313">
        <f>B51*22</f>
        <v>5956.5252293577978</v>
      </c>
      <c r="C54" s="317" t="s">
        <v>327</v>
      </c>
      <c r="D54" s="310"/>
    </row>
    <row r="55" spans="1:5">
      <c r="A55" s="178" t="s">
        <v>313</v>
      </c>
      <c r="B55" s="313">
        <f>(22*B52)+(8*B53)</f>
        <v>19818.922018348618</v>
      </c>
      <c r="C55" s="309"/>
      <c r="D55" s="310"/>
    </row>
    <row r="56" spans="1:5" ht="15" thickBot="1">
      <c r="A56" s="321" t="s">
        <v>175</v>
      </c>
      <c r="B56" s="322">
        <f>B54+B55</f>
        <v>25775.447247706416</v>
      </c>
      <c r="C56" s="323"/>
      <c r="D56" s="324"/>
    </row>
    <row r="61" spans="1:5">
      <c r="B61" s="352"/>
    </row>
    <row r="69" spans="1:10">
      <c r="A69" s="176" t="s">
        <v>189</v>
      </c>
      <c r="G69" s="175" t="s">
        <v>203</v>
      </c>
    </row>
    <row r="70" spans="1:10">
      <c r="A70" s="191" t="s">
        <v>188</v>
      </c>
      <c r="B70" s="276">
        <f>IF('[1]IceBank Account'!F4&lt;&gt;"",'[1]IceBank Account'!F4,0)</f>
        <v>676.32850241545884</v>
      </c>
      <c r="C70" s="276">
        <f>IF('[1]IceBank Account'!K4&lt;&gt;"",'[1]IceBank Account'!K4,0)</f>
        <v>0</v>
      </c>
      <c r="D70" s="276">
        <f>IF('[1]IceBank Account'!P4&lt;&gt;"",'[1]IceBank Account'!P4,0)</f>
        <v>100</v>
      </c>
      <c r="E70" s="276">
        <f>IF('[1]IceBank Account'!U4&lt;&gt;"",'[1]IceBank Account'!U4,0)</f>
        <v>0</v>
      </c>
      <c r="G70" t="s">
        <v>207</v>
      </c>
    </row>
    <row r="71" spans="1:10">
      <c r="A71" s="249" t="s">
        <v>10</v>
      </c>
      <c r="B71" s="277" t="s">
        <v>181</v>
      </c>
      <c r="C71" s="277" t="s">
        <v>182</v>
      </c>
      <c r="D71" s="277" t="s">
        <v>183</v>
      </c>
      <c r="E71" s="277" t="s">
        <v>184</v>
      </c>
      <c r="F71" s="294" t="s">
        <v>64</v>
      </c>
      <c r="G71" t="s">
        <v>10</v>
      </c>
      <c r="H71" t="s">
        <v>208</v>
      </c>
      <c r="I71" t="s">
        <v>204</v>
      </c>
      <c r="J71" t="s">
        <v>205</v>
      </c>
    </row>
    <row r="72" spans="1:10">
      <c r="A72">
        <f>1</f>
        <v>1</v>
      </c>
      <c r="B72" s="274">
        <f>IF('[1]IceBank Account'!B8="I",'[1]IceBank Account'!E8*$B$70*[2]Summary!$B$20,'[1]IceBank Account'!J8*[2]Summary!$B$19)</f>
        <v>351.69082125603859</v>
      </c>
      <c r="C72" s="274">
        <f>IF($C$70=0,0,IF('[1]IceBank Account'!B8="I",'[1]IceBank Account'!E8*$B$70*[2]Summary!$B$20,'[1]IceBank Account'!K8*[2]Summary!$B$19))</f>
        <v>0</v>
      </c>
      <c r="D72" s="274">
        <f>'[1]IceBank Account'!$P$4*'[1]IceBank Account'!G8*Efficiency</f>
        <v>110.00000000000001</v>
      </c>
      <c r="E72" s="274">
        <f>'[1]IceBank Account'!$U$4*'[1]IceBank Account'!H8*Efficiency</f>
        <v>0</v>
      </c>
      <c r="F72" s="295">
        <f>SUM(B72:E72)</f>
        <v>461.69082125603859</v>
      </c>
      <c r="G72">
        <v>1</v>
      </c>
      <c r="H72" s="46">
        <f>IF('[1]IceBank Account'!B8="I",'[1]IceBank Account'!E8*$B$70*[2]Summary!$B$20,SUM(B72:E72)*[2]Summary!$B$15*[2]Summary!$B$19)</f>
        <v>351.69082125603859</v>
      </c>
      <c r="I72" s="46">
        <v>0</v>
      </c>
      <c r="J72" s="46">
        <f>IF((H72-I72)&gt;0,H72-I72,0)</f>
        <v>351.69082125603859</v>
      </c>
    </row>
    <row r="73" spans="1:10">
      <c r="A73">
        <f>A72+1</f>
        <v>2</v>
      </c>
      <c r="B73" s="274">
        <f>IF('[1]IceBank Account'!B9="I",'[1]IceBank Account'!E9*$B$70*[2]Summary!$B$20,'[1]IceBank Account'!J9*[2]Summary!$B$19)</f>
        <v>351.69082125603859</v>
      </c>
      <c r="C73" s="274">
        <f>IF($C$70=0,0,IF('[1]IceBank Account'!B9="I",'[1]IceBank Account'!E9*$B$70,'[1]IceBank Account'!K9))</f>
        <v>0</v>
      </c>
      <c r="D73" s="274">
        <f>'[1]IceBank Account'!$P$4*'[1]IceBank Account'!G9*Efficiency</f>
        <v>110.00000000000001</v>
      </c>
      <c r="E73" s="274">
        <f>'[1]IceBank Account'!$U$4*'[1]IceBank Account'!H9*Efficiency</f>
        <v>0</v>
      </c>
      <c r="F73" s="295">
        <f t="shared" ref="F73:F95" si="0">SUM(B73:E73)</f>
        <v>461.69082125603859</v>
      </c>
      <c r="G73">
        <v>2</v>
      </c>
      <c r="H73" s="46">
        <f>IF('[1]IceBank Account'!B9="I",'[1]IceBank Account'!E9*$B$70*[2]Summary!$B$20,SUM(B73:E73)*[2]Summary!$B$15*[2]Summary!$B$19)</f>
        <v>351.69082125603859</v>
      </c>
      <c r="I73" s="46">
        <v>0</v>
      </c>
      <c r="J73" s="46">
        <f t="shared" ref="J73:J95" si="1">IF((H73-I73)&gt;0,H73-I73,0)</f>
        <v>351.69082125603859</v>
      </c>
    </row>
    <row r="74" spans="1:10">
      <c r="A74">
        <f t="shared" ref="A74:A95" si="2">A73+1</f>
        <v>3</v>
      </c>
      <c r="B74" s="274">
        <f>IF('[1]IceBank Account'!B10="I",'[1]IceBank Account'!E10*$B$70*[2]Summary!$B$20,'[1]IceBank Account'!J10*[2]Summary!$B$19)</f>
        <v>351.69082125603859</v>
      </c>
      <c r="C74" s="274">
        <f>IF($C$70=0,0,IF('[1]IceBank Account'!B10="I",'[1]IceBank Account'!E10*$B$70,'[1]IceBank Account'!K10))</f>
        <v>0</v>
      </c>
      <c r="D74" s="274">
        <f>'[1]IceBank Account'!$P$4*'[1]IceBank Account'!G10*Efficiency</f>
        <v>110.00000000000001</v>
      </c>
      <c r="E74" s="274">
        <f>'[1]IceBank Account'!$U$4*'[1]IceBank Account'!H10*Efficiency</f>
        <v>0</v>
      </c>
      <c r="F74" s="295">
        <f t="shared" si="0"/>
        <v>461.69082125603859</v>
      </c>
      <c r="G74">
        <v>3</v>
      </c>
      <c r="H74" s="46">
        <f>IF('[1]IceBank Account'!B10="I",'[1]IceBank Account'!E10*$B$70*[2]Summary!$B$20,SUM(B74:E74)*[2]Summary!$B$15*[2]Summary!$B$19)</f>
        <v>351.69082125603859</v>
      </c>
      <c r="I74" s="46">
        <v>0</v>
      </c>
      <c r="J74" s="46">
        <f t="shared" si="1"/>
        <v>351.69082125603859</v>
      </c>
    </row>
    <row r="75" spans="1:10">
      <c r="A75">
        <f t="shared" si="2"/>
        <v>4</v>
      </c>
      <c r="B75" s="274">
        <f>IF('[1]IceBank Account'!B11="I",'[1]IceBank Account'!E11*$B$70*[2]Summary!$B$20,'[1]IceBank Account'!J11*[2]Summary!$B$19)</f>
        <v>351.69082125603859</v>
      </c>
      <c r="C75" s="274">
        <f>IF($C$70=0,0,IF('[1]IceBank Account'!B11="I",'[1]IceBank Account'!E11*$B$70,'[1]IceBank Account'!K11))</f>
        <v>0</v>
      </c>
      <c r="D75" s="274">
        <f>'[1]IceBank Account'!$P$4*'[1]IceBank Account'!G11*Efficiency</f>
        <v>110.00000000000001</v>
      </c>
      <c r="E75" s="274">
        <f>'[1]IceBank Account'!$U$4*'[1]IceBank Account'!H11*Efficiency</f>
        <v>0</v>
      </c>
      <c r="F75" s="295">
        <f t="shared" si="0"/>
        <v>461.69082125603859</v>
      </c>
      <c r="G75">
        <v>4</v>
      </c>
      <c r="H75" s="46">
        <f>IF('[1]IceBank Account'!B11="I",'[1]IceBank Account'!E11*$B$70*[2]Summary!$B$20,SUM(B75:E75)*[2]Summary!$B$15*[2]Summary!$B$19)</f>
        <v>351.69082125603859</v>
      </c>
      <c r="I75" s="46">
        <v>0</v>
      </c>
      <c r="J75" s="46">
        <f t="shared" si="1"/>
        <v>351.69082125603859</v>
      </c>
    </row>
    <row r="76" spans="1:10">
      <c r="A76">
        <f t="shared" si="2"/>
        <v>5</v>
      </c>
      <c r="B76" s="274">
        <f>IF('[1]IceBank Account'!B12="I",'[1]IceBank Account'!E12*$B$70*[2]Summary!$B$20,'[1]IceBank Account'!J12*[2]Summary!$B$19)</f>
        <v>351.69082125603859</v>
      </c>
      <c r="C76" s="274">
        <f>IF($C$70=0,0,IF('[1]IceBank Account'!B12="I",'[1]IceBank Account'!E12*$B$70,'[1]IceBank Account'!K12))</f>
        <v>0</v>
      </c>
      <c r="D76" s="274">
        <f>'[1]IceBank Account'!$P$4*'[1]IceBank Account'!G12*Efficiency</f>
        <v>110.00000000000001</v>
      </c>
      <c r="E76" s="274">
        <f>'[1]IceBank Account'!$U$4*'[1]IceBank Account'!H12*Efficiency</f>
        <v>0</v>
      </c>
      <c r="F76" s="295">
        <f t="shared" si="0"/>
        <v>461.69082125603859</v>
      </c>
      <c r="G76">
        <v>5</v>
      </c>
      <c r="H76" s="46">
        <f>IF('[1]IceBank Account'!B12="I",'[1]IceBank Account'!E12*$B$70*[2]Summary!$B$20,SUM(B76:E76)*[2]Summary!$B$15*[2]Summary!$B$19)</f>
        <v>351.69082125603859</v>
      </c>
      <c r="I76" s="46">
        <v>0</v>
      </c>
      <c r="J76" s="46">
        <f t="shared" si="1"/>
        <v>351.69082125603859</v>
      </c>
    </row>
    <row r="77" spans="1:10">
      <c r="A77">
        <f t="shared" si="2"/>
        <v>6</v>
      </c>
      <c r="B77" s="274">
        <f>IF('[1]IceBank Account'!B13="I",'[1]IceBank Account'!E13*$B$70*[2]Summary!$B$20,'[1]IceBank Account'!J13*[2]Summary!$B$19)</f>
        <v>351.69082125603859</v>
      </c>
      <c r="C77" s="274">
        <f>IF($C$70=0,0,IF('[1]IceBank Account'!B13="I",'[1]IceBank Account'!E13*$B$70,'[1]IceBank Account'!K13))</f>
        <v>0</v>
      </c>
      <c r="D77" s="274">
        <f>'[1]IceBank Account'!$P$4*'[1]IceBank Account'!G13*Efficiency</f>
        <v>110.00000000000001</v>
      </c>
      <c r="E77" s="274">
        <f>'[1]IceBank Account'!$U$4*'[1]IceBank Account'!H13*Efficiency</f>
        <v>0</v>
      </c>
      <c r="F77" s="295">
        <f t="shared" si="0"/>
        <v>461.69082125603859</v>
      </c>
      <c r="G77">
        <v>6</v>
      </c>
      <c r="H77" s="46">
        <f>IF('[1]IceBank Account'!B13="I",'[1]IceBank Account'!E13*$B$70*[2]Summary!$B$20,SUM(B77:E77)*[2]Summary!$B$15*[2]Summary!$B$19)</f>
        <v>351.69082125603859</v>
      </c>
      <c r="I77" s="46">
        <v>0</v>
      </c>
      <c r="J77" s="46">
        <f t="shared" si="1"/>
        <v>351.69082125603859</v>
      </c>
    </row>
    <row r="78" spans="1:10">
      <c r="A78">
        <f t="shared" si="2"/>
        <v>7</v>
      </c>
      <c r="B78" s="274">
        <f>IF('[1]IceBank Account'!B14="I",'[1]IceBank Account'!E14*$B$70*[2]Summary!$B$20,'[1]IceBank Account'!J14*[2]Summary!$B$19)</f>
        <v>80</v>
      </c>
      <c r="C78" s="274">
        <f>IF($C$70=0,0,IF('[1]IceBank Account'!B14="I",'[1]IceBank Account'!E14*$B$70,'[1]IceBank Account'!K14))</f>
        <v>0</v>
      </c>
      <c r="D78" s="274">
        <f>'[1]IceBank Account'!$P$4*'[1]IceBank Account'!G14*Efficiency</f>
        <v>110.00000000000001</v>
      </c>
      <c r="E78" s="274">
        <f>'[1]IceBank Account'!$U$4*'[1]IceBank Account'!H14*Efficiency</f>
        <v>0</v>
      </c>
      <c r="F78" s="295">
        <f t="shared" si="0"/>
        <v>190</v>
      </c>
      <c r="G78" s="286">
        <v>7</v>
      </c>
      <c r="H78" s="287">
        <f>IF('[1]IceBank Account'!B14="I",'[1]IceBank Account'!E14*$B$70*[2]Summary!$B$20,SUM(B78:E78)*[2]Summary!$B$15*[2]Summary!$B$19)</f>
        <v>30.400000000000002</v>
      </c>
      <c r="I78" s="287">
        <f>H78</f>
        <v>30.400000000000002</v>
      </c>
      <c r="J78" s="287">
        <f t="shared" si="1"/>
        <v>0</v>
      </c>
    </row>
    <row r="79" spans="1:10">
      <c r="A79">
        <f t="shared" si="2"/>
        <v>8</v>
      </c>
      <c r="B79" s="274">
        <f>IF('[1]IceBank Account'!B15="I",'[1]IceBank Account'!E15*$B$70*[2]Summary!$B$20,'[1]IceBank Account'!J15*[2]Summary!$B$19)</f>
        <v>160</v>
      </c>
      <c r="C79" s="274">
        <f>IF($C$70=0,0,IF('[1]IceBank Account'!B15="I",'[1]IceBank Account'!E15*$B$70,'[1]IceBank Account'!K15))</f>
        <v>0</v>
      </c>
      <c r="D79" s="274">
        <f>'[1]IceBank Account'!$P$4*'[1]IceBank Account'!G15*Efficiency</f>
        <v>110.00000000000001</v>
      </c>
      <c r="E79" s="274">
        <f>'[1]IceBank Account'!$U$4*'[1]IceBank Account'!H15*Efficiency</f>
        <v>0</v>
      </c>
      <c r="F79" s="295">
        <f t="shared" si="0"/>
        <v>270</v>
      </c>
      <c r="G79" s="286">
        <v>8</v>
      </c>
      <c r="H79" s="287">
        <f>IF('[1]IceBank Account'!B15="I",'[1]IceBank Account'!E15*$B$70*[2]Summary!$B$20,SUM(B79:E79)*[2]Summary!$B$15*[2]Summary!$B$19)</f>
        <v>43.2</v>
      </c>
      <c r="I79" s="287">
        <f t="shared" ref="I79:I81" si="3">H79</f>
        <v>43.2</v>
      </c>
      <c r="J79" s="287">
        <f t="shared" si="1"/>
        <v>0</v>
      </c>
    </row>
    <row r="80" spans="1:10">
      <c r="A80">
        <f t="shared" si="2"/>
        <v>9</v>
      </c>
      <c r="B80" s="274">
        <f>IF('[1]IceBank Account'!B16="I",'[1]IceBank Account'!E16*$B$70*[2]Summary!$B$20,'[1]IceBank Account'!J16*[2]Summary!$B$19)</f>
        <v>240</v>
      </c>
      <c r="C80" s="274">
        <f>IF($C$70=0,0,IF('[1]IceBank Account'!B16="I",'[1]IceBank Account'!E16*$B$70,'[1]IceBank Account'!K16))</f>
        <v>0</v>
      </c>
      <c r="D80" s="274">
        <f>'[1]IceBank Account'!$P$4*'[1]IceBank Account'!G16*Efficiency</f>
        <v>110.00000000000001</v>
      </c>
      <c r="E80" s="274">
        <f>'[1]IceBank Account'!$U$4*'[1]IceBank Account'!H16*Efficiency</f>
        <v>0</v>
      </c>
      <c r="F80" s="295">
        <f t="shared" si="0"/>
        <v>350</v>
      </c>
      <c r="G80" s="286">
        <v>9</v>
      </c>
      <c r="H80" s="287">
        <f>IF('[1]IceBank Account'!B16="I",'[1]IceBank Account'!E16*$B$70*[2]Summary!$B$20,SUM(B80:E80)*[2]Summary!$B$15*[2]Summary!$B$19)</f>
        <v>56</v>
      </c>
      <c r="I80" s="287">
        <f t="shared" si="3"/>
        <v>56</v>
      </c>
      <c r="J80" s="287">
        <f t="shared" si="1"/>
        <v>0</v>
      </c>
    </row>
    <row r="81" spans="1:10">
      <c r="A81">
        <f t="shared" si="2"/>
        <v>10</v>
      </c>
      <c r="B81" s="274">
        <f>IF('[1]IceBank Account'!B17="I",'[1]IceBank Account'!E17*$B$70*[2]Summary!$B$20,'[1]IceBank Account'!J17*[2]Summary!$B$19)</f>
        <v>320</v>
      </c>
      <c r="C81" s="274">
        <f>IF($C$70=0,0,IF('[1]IceBank Account'!B17="I",'[1]IceBank Account'!E17*$B$70,'[1]IceBank Account'!K17))</f>
        <v>0</v>
      </c>
      <c r="D81" s="274">
        <f>'[1]IceBank Account'!$P$4*'[1]IceBank Account'!G17*Efficiency</f>
        <v>110.00000000000001</v>
      </c>
      <c r="E81" s="274">
        <f>'[1]IceBank Account'!$U$4*'[1]IceBank Account'!H17*Efficiency</f>
        <v>0</v>
      </c>
      <c r="F81" s="295">
        <f t="shared" si="0"/>
        <v>430</v>
      </c>
      <c r="G81" s="286">
        <v>10</v>
      </c>
      <c r="H81" s="287">
        <f>IF('[1]IceBank Account'!B17="I",'[1]IceBank Account'!E17*$B$70*[2]Summary!$B$20,SUM(B81:E81)*[2]Summary!$B$15*[2]Summary!$B$19)</f>
        <v>68.8</v>
      </c>
      <c r="I81" s="287">
        <f t="shared" si="3"/>
        <v>68.8</v>
      </c>
      <c r="J81" s="287">
        <f t="shared" si="1"/>
        <v>0</v>
      </c>
    </row>
    <row r="82" spans="1:10">
      <c r="A82">
        <f t="shared" si="2"/>
        <v>11</v>
      </c>
      <c r="B82" s="274">
        <f>IF('[1]IceBank Account'!B18="I",'[1]IceBank Account'!E18*$B$70*[2]Summary!$B$20,'[1]IceBank Account'!J18*[2]Summary!$B$19)</f>
        <v>486.95652173913044</v>
      </c>
      <c r="C82" s="274">
        <f>IF($C$70=0,0,IF('[1]IceBank Account'!B18="I",'[1]IceBank Account'!E18*$B$70,'[1]IceBank Account'!K18))</f>
        <v>0</v>
      </c>
      <c r="D82" s="274">
        <f>'[1]IceBank Account'!$P$4*'[1]IceBank Account'!G18*Efficiency</f>
        <v>110.00000000000001</v>
      </c>
      <c r="E82" s="274">
        <f>'[1]IceBank Account'!$U$4*'[1]IceBank Account'!H18*Efficiency</f>
        <v>0</v>
      </c>
      <c r="F82" s="295">
        <f t="shared" si="0"/>
        <v>596.95652173913049</v>
      </c>
      <c r="G82">
        <v>11</v>
      </c>
      <c r="H82" s="46">
        <f>IF('[1]IceBank Account'!B18="I",'[1]IceBank Account'!E18*$B$70*[2]Summary!$B$20,SUM(B82:E82)*[2]Summary!$B$15*[2]Summary!$B$19)</f>
        <v>95.513043478260897</v>
      </c>
      <c r="I82" s="288">
        <f t="shared" ref="I82:I89" si="4">($I$98-SUM($I$78:$I$81,$I$90:$I$93))/8</f>
        <v>296.29082125603861</v>
      </c>
      <c r="J82" s="46">
        <f t="shared" si="1"/>
        <v>0</v>
      </c>
    </row>
    <row r="83" spans="1:10">
      <c r="A83">
        <f t="shared" si="2"/>
        <v>12</v>
      </c>
      <c r="B83" s="274">
        <f>IF('[1]IceBank Account'!B19="I",'[1]IceBank Account'!E19*$B$70*[2]Summary!$B$20,'[1]IceBank Account'!J19*[2]Summary!$B$19)</f>
        <v>486.95652173913044</v>
      </c>
      <c r="C83" s="274">
        <f>IF($C$70=0,0,IF('[1]IceBank Account'!B19="I",'[1]IceBank Account'!E19*$B$70,'[1]IceBank Account'!K19))</f>
        <v>0</v>
      </c>
      <c r="D83" s="274">
        <f>'[1]IceBank Account'!$P$4*'[1]IceBank Account'!G19*Efficiency</f>
        <v>110.00000000000001</v>
      </c>
      <c r="E83" s="274">
        <f>'[1]IceBank Account'!$U$4*'[1]IceBank Account'!H19*Efficiency</f>
        <v>0</v>
      </c>
      <c r="F83" s="295">
        <f t="shared" si="0"/>
        <v>596.95652173913049</v>
      </c>
      <c r="G83">
        <v>12</v>
      </c>
      <c r="H83" s="46">
        <f>IF('[1]IceBank Account'!B19="I",'[1]IceBank Account'!E19*$B$70*[2]Summary!$B$20,SUM(B83:E83)*[2]Summary!$B$15*[2]Summary!$B$19)</f>
        <v>95.513043478260897</v>
      </c>
      <c r="I83" s="288">
        <f t="shared" si="4"/>
        <v>296.29082125603861</v>
      </c>
      <c r="J83" s="46">
        <f t="shared" si="1"/>
        <v>0</v>
      </c>
    </row>
    <row r="84" spans="1:10">
      <c r="A84">
        <f t="shared" si="2"/>
        <v>13</v>
      </c>
      <c r="B84" s="274">
        <f>IF('[1]IceBank Account'!B20="I",'[1]IceBank Account'!E20*$B$70*[2]Summary!$B$20,'[1]IceBank Account'!J20*[2]Summary!$B$19)</f>
        <v>486.95652173913044</v>
      </c>
      <c r="C84" s="274">
        <f>IF($C$70=0,0,IF('[1]IceBank Account'!B20="I",'[1]IceBank Account'!E20*$B$70,'[1]IceBank Account'!K20))</f>
        <v>0</v>
      </c>
      <c r="D84" s="274">
        <f>'[1]IceBank Account'!$P$4*'[1]IceBank Account'!G20*Efficiency</f>
        <v>110.00000000000001</v>
      </c>
      <c r="E84" s="274">
        <f>'[1]IceBank Account'!$U$4*'[1]IceBank Account'!H20*Efficiency</f>
        <v>0</v>
      </c>
      <c r="F84" s="295">
        <f t="shared" si="0"/>
        <v>596.95652173913049</v>
      </c>
      <c r="G84">
        <v>13</v>
      </c>
      <c r="H84" s="46">
        <f>IF('[1]IceBank Account'!B20="I",'[1]IceBank Account'!E20*$B$70*[2]Summary!$B$20,SUM(B84:E84)*[2]Summary!$B$15*[2]Summary!$B$19)</f>
        <v>95.513043478260897</v>
      </c>
      <c r="I84" s="288">
        <f t="shared" si="4"/>
        <v>296.29082125603861</v>
      </c>
      <c r="J84" s="46">
        <f t="shared" si="1"/>
        <v>0</v>
      </c>
    </row>
    <row r="85" spans="1:10">
      <c r="A85">
        <f t="shared" si="2"/>
        <v>14</v>
      </c>
      <c r="B85" s="274">
        <f>IF('[1]IceBank Account'!B21="I",'[1]IceBank Account'!E21*$B$70*[2]Summary!$B$20,'[1]IceBank Account'!J21*[2]Summary!$B$19)</f>
        <v>486.95652173913044</v>
      </c>
      <c r="C85" s="274">
        <f>IF($C$70=0,0,IF('[1]IceBank Account'!B21="I",'[1]IceBank Account'!E21*$B$70,'[1]IceBank Account'!K21))</f>
        <v>0</v>
      </c>
      <c r="D85" s="274">
        <f>'[1]IceBank Account'!$P$4*'[1]IceBank Account'!G21*Efficiency</f>
        <v>110.00000000000001</v>
      </c>
      <c r="E85" s="274">
        <f>'[1]IceBank Account'!$U$4*'[1]IceBank Account'!H21*Efficiency</f>
        <v>0</v>
      </c>
      <c r="F85" s="295">
        <f t="shared" si="0"/>
        <v>596.95652173913049</v>
      </c>
      <c r="G85">
        <v>14</v>
      </c>
      <c r="H85" s="46">
        <f>IF('[1]IceBank Account'!B21="I",'[1]IceBank Account'!E21*$B$70*[2]Summary!$B$20,SUM(B85:E85)*[2]Summary!$B$15*[2]Summary!$B$19)</f>
        <v>95.513043478260897</v>
      </c>
      <c r="I85" s="288">
        <f t="shared" si="4"/>
        <v>296.29082125603861</v>
      </c>
      <c r="J85" s="46">
        <f t="shared" si="1"/>
        <v>0</v>
      </c>
    </row>
    <row r="86" spans="1:10">
      <c r="A86">
        <f t="shared" si="2"/>
        <v>15</v>
      </c>
      <c r="B86" s="274">
        <f>IF('[1]IceBank Account'!B22="I",'[1]IceBank Account'!E22*$B$70*[2]Summary!$B$20,'[1]IceBank Account'!J22*[2]Summary!$B$19)</f>
        <v>486.95652173913044</v>
      </c>
      <c r="C86" s="274">
        <f>IF($C$70=0,0,IF('[1]IceBank Account'!B22="I",'[1]IceBank Account'!E22*$B$70,'[1]IceBank Account'!K22))</f>
        <v>0</v>
      </c>
      <c r="D86" s="274">
        <f>'[1]IceBank Account'!$P$4*'[1]IceBank Account'!G22*Efficiency</f>
        <v>110.00000000000001</v>
      </c>
      <c r="E86" s="274">
        <f>'[1]IceBank Account'!$U$4*'[1]IceBank Account'!H22*Efficiency</f>
        <v>0</v>
      </c>
      <c r="F86" s="295">
        <f t="shared" si="0"/>
        <v>596.95652173913049</v>
      </c>
      <c r="G86">
        <v>15</v>
      </c>
      <c r="H86" s="46">
        <f>IF('[1]IceBank Account'!B22="I",'[1]IceBank Account'!E22*$B$70*[2]Summary!$B$20,SUM(B86:E86)*[2]Summary!$B$15*[2]Summary!$B$19)</f>
        <v>95.513043478260897</v>
      </c>
      <c r="I86" s="288">
        <f t="shared" si="4"/>
        <v>296.29082125603861</v>
      </c>
      <c r="J86" s="46">
        <f t="shared" si="1"/>
        <v>0</v>
      </c>
    </row>
    <row r="87" spans="1:10">
      <c r="A87">
        <f t="shared" si="2"/>
        <v>16</v>
      </c>
      <c r="B87" s="274">
        <f>IF('[1]IceBank Account'!B23="I",'[1]IceBank Account'!E23*$B$70*[2]Summary!$B$20,'[1]IceBank Account'!J23*[2]Summary!$B$19)</f>
        <v>0</v>
      </c>
      <c r="C87" s="274">
        <f>IF($C$70=0,0,IF('[1]IceBank Account'!B23="I",'[1]IceBank Account'!E23*$B$70,'[1]IceBank Account'!K23))</f>
        <v>0</v>
      </c>
      <c r="D87" s="274">
        <f>'[1]IceBank Account'!$P$4*'[1]IceBank Account'!G23*Efficiency</f>
        <v>0</v>
      </c>
      <c r="E87" s="274">
        <f>'[1]IceBank Account'!$U$4*'[1]IceBank Account'!H23*Efficiency</f>
        <v>0</v>
      </c>
      <c r="F87" s="295">
        <f t="shared" si="0"/>
        <v>0</v>
      </c>
      <c r="G87">
        <v>16</v>
      </c>
      <c r="H87" s="46">
        <f>IF('[1]IceBank Account'!B23="I",'[1]IceBank Account'!E23*$B$70*[2]Summary!$B$20,SUM(B87:E87)*[2]Summary!$B$15*[2]Summary!$B$19)</f>
        <v>0</v>
      </c>
      <c r="I87" s="288">
        <f t="shared" si="4"/>
        <v>296.29082125603861</v>
      </c>
      <c r="J87" s="46">
        <f t="shared" si="1"/>
        <v>0</v>
      </c>
    </row>
    <row r="88" spans="1:10">
      <c r="A88">
        <f t="shared" si="2"/>
        <v>17</v>
      </c>
      <c r="B88" s="274">
        <f>IF('[1]IceBank Account'!B24="I",'[1]IceBank Account'!E24*$B$70*[2]Summary!$B$20,'[1]IceBank Account'!J24*[2]Summary!$B$19)</f>
        <v>0</v>
      </c>
      <c r="C88" s="274">
        <f>IF($C$70=0,0,IF('[1]IceBank Account'!B24="I",'[1]IceBank Account'!E24*$B$70,'[1]IceBank Account'!K24))</f>
        <v>0</v>
      </c>
      <c r="D88" s="274">
        <f>'[1]IceBank Account'!$P$4*'[1]IceBank Account'!G24*Efficiency</f>
        <v>0</v>
      </c>
      <c r="E88" s="274">
        <f>'[1]IceBank Account'!$U$4*'[1]IceBank Account'!H24*Efficiency</f>
        <v>0</v>
      </c>
      <c r="F88" s="295">
        <f t="shared" si="0"/>
        <v>0</v>
      </c>
      <c r="G88">
        <v>17</v>
      </c>
      <c r="H88" s="46">
        <f>IF('[1]IceBank Account'!B24="I",'[1]IceBank Account'!E24*$B$70*[2]Summary!$B$20,SUM(B88:E88)*[2]Summary!$B$15*[2]Summary!$B$19)</f>
        <v>0</v>
      </c>
      <c r="I88" s="288">
        <f t="shared" si="4"/>
        <v>296.29082125603861</v>
      </c>
      <c r="J88" s="46">
        <f t="shared" si="1"/>
        <v>0</v>
      </c>
    </row>
    <row r="89" spans="1:10">
      <c r="A89">
        <f t="shared" si="2"/>
        <v>18</v>
      </c>
      <c r="B89" s="274">
        <f>IF('[1]IceBank Account'!B25="I",'[1]IceBank Account'!E25*$B$70*[2]Summary!$B$20,'[1]IceBank Account'!J25*[2]Summary!$B$19)</f>
        <v>0</v>
      </c>
      <c r="C89" s="274">
        <f>IF($C$70=0,0,IF('[1]IceBank Account'!B25="I",'[1]IceBank Account'!E25*$B$70,'[1]IceBank Account'!K25))</f>
        <v>0</v>
      </c>
      <c r="D89" s="274">
        <f>'[1]IceBank Account'!$P$4*'[1]IceBank Account'!G25*Efficiency</f>
        <v>0</v>
      </c>
      <c r="E89" s="274">
        <f>'[1]IceBank Account'!$U$4*'[1]IceBank Account'!H25*Efficiency</f>
        <v>0</v>
      </c>
      <c r="F89" s="295">
        <f t="shared" si="0"/>
        <v>0</v>
      </c>
      <c r="G89">
        <v>18</v>
      </c>
      <c r="H89" s="46">
        <f>IF('[1]IceBank Account'!B25="I",'[1]IceBank Account'!E25*$B$70*[2]Summary!$B$20,SUM(B89:E89)*[2]Summary!$B$15*[2]Summary!$B$19)</f>
        <v>0</v>
      </c>
      <c r="I89" s="288">
        <f t="shared" si="4"/>
        <v>296.29082125603861</v>
      </c>
      <c r="J89" s="46">
        <f t="shared" si="1"/>
        <v>0</v>
      </c>
    </row>
    <row r="90" spans="1:10">
      <c r="A90">
        <f t="shared" si="2"/>
        <v>19</v>
      </c>
      <c r="B90" s="274">
        <f>IF('[1]IceBank Account'!B26="I",'[1]IceBank Account'!E26*$B$70*[2]Summary!$B$20,'[1]IceBank Account'!J26*[2]Summary!$B$19)</f>
        <v>400</v>
      </c>
      <c r="C90" s="274">
        <f>IF($C$70=0,0,IF('[1]IceBank Account'!B26="I",'[1]IceBank Account'!E26*$B$70,'[1]IceBank Account'!K26))</f>
        <v>0</v>
      </c>
      <c r="D90" s="274">
        <f>'[1]IceBank Account'!$P$4*'[1]IceBank Account'!G26*Efficiency</f>
        <v>110.00000000000001</v>
      </c>
      <c r="E90" s="274">
        <f>'[1]IceBank Account'!$U$4*'[1]IceBank Account'!H26*Efficiency</f>
        <v>0</v>
      </c>
      <c r="F90" s="295">
        <f t="shared" si="0"/>
        <v>510</v>
      </c>
      <c r="G90" s="286">
        <v>19</v>
      </c>
      <c r="H90" s="287">
        <f>IF('[1]IceBank Account'!B26="I",'[1]IceBank Account'!E26*$B$70*[2]Summary!$B$20,SUM(B90:E90)*[2]Summary!$B$15*[2]Summary!$B$19)</f>
        <v>81.600000000000009</v>
      </c>
      <c r="I90" s="287">
        <f>H90</f>
        <v>81.600000000000009</v>
      </c>
      <c r="J90" s="287">
        <f t="shared" si="1"/>
        <v>0</v>
      </c>
    </row>
    <row r="91" spans="1:10">
      <c r="A91">
        <f t="shared" si="2"/>
        <v>20</v>
      </c>
      <c r="B91" s="274">
        <f>IF('[1]IceBank Account'!B27="I",'[1]IceBank Account'!E27*$B$70*[2]Summary!$B$20,'[1]IceBank Account'!J27*[2]Summary!$B$19)</f>
        <v>400</v>
      </c>
      <c r="C91" s="274">
        <f>IF($C$70=0,0,IF('[1]IceBank Account'!B27="I",'[1]IceBank Account'!E27*$B$70,'[1]IceBank Account'!K27))</f>
        <v>0</v>
      </c>
      <c r="D91" s="274">
        <f>'[1]IceBank Account'!$P$4*'[1]IceBank Account'!G27*Efficiency</f>
        <v>110.00000000000001</v>
      </c>
      <c r="E91" s="274">
        <f>'[1]IceBank Account'!$U$4*'[1]IceBank Account'!H27*Efficiency</f>
        <v>0</v>
      </c>
      <c r="F91" s="295">
        <f t="shared" si="0"/>
        <v>510</v>
      </c>
      <c r="G91" s="286">
        <v>20</v>
      </c>
      <c r="H91" s="287">
        <f>IF('[1]IceBank Account'!B27="I",'[1]IceBank Account'!E27*$B$70*[2]Summary!$B$20,SUM(B91:E91)*[2]Summary!$B$15*[2]Summary!$B$19)</f>
        <v>81.600000000000009</v>
      </c>
      <c r="I91" s="287">
        <f t="shared" ref="I91:I93" si="5">H91</f>
        <v>81.600000000000009</v>
      </c>
      <c r="J91" s="287">
        <f t="shared" si="1"/>
        <v>0</v>
      </c>
    </row>
    <row r="92" spans="1:10">
      <c r="A92">
        <f t="shared" si="2"/>
        <v>21</v>
      </c>
      <c r="B92" s="274">
        <f>IF('[1]IceBank Account'!B28="I",'[1]IceBank Account'!E28*$B$70*[2]Summary!$B$20,'[1]IceBank Account'!J28*[2]Summary!$B$19)</f>
        <v>400</v>
      </c>
      <c r="C92" s="274">
        <f>IF($C$70=0,0,IF('[1]IceBank Account'!B28="I",'[1]IceBank Account'!E28*$B$70,'[1]IceBank Account'!K28))</f>
        <v>0</v>
      </c>
      <c r="D92" s="274">
        <f>'[1]IceBank Account'!$P$4*'[1]IceBank Account'!G28*Efficiency</f>
        <v>110.00000000000001</v>
      </c>
      <c r="E92" s="274">
        <f>'[1]IceBank Account'!$U$4*'[1]IceBank Account'!H28*Efficiency</f>
        <v>0</v>
      </c>
      <c r="F92" s="295">
        <f t="shared" si="0"/>
        <v>510</v>
      </c>
      <c r="G92" s="286">
        <v>21</v>
      </c>
      <c r="H92" s="287">
        <f>IF('[1]IceBank Account'!B28="I",'[1]IceBank Account'!E28*$B$70*[2]Summary!$B$20,SUM(B92:E92)*[2]Summary!$B$15*[2]Summary!$B$19)</f>
        <v>81.600000000000009</v>
      </c>
      <c r="I92" s="287">
        <f t="shared" si="5"/>
        <v>81.600000000000009</v>
      </c>
      <c r="J92" s="287">
        <f t="shared" si="1"/>
        <v>0</v>
      </c>
    </row>
    <row r="93" spans="1:10">
      <c r="A93">
        <f t="shared" si="2"/>
        <v>22</v>
      </c>
      <c r="B93" s="274">
        <f>IF('[1]IceBank Account'!B29="I",'[1]IceBank Account'!E29*$B$70*[2]Summary!$B$20,'[1]IceBank Account'!J29*[2]Summary!$B$19)</f>
        <v>351.69082125603859</v>
      </c>
      <c r="C93" s="274">
        <f>IF($C$70=0,0,IF('[1]IceBank Account'!B29="I",'[1]IceBank Account'!E29*$B$70,'[1]IceBank Account'!K29))</f>
        <v>0</v>
      </c>
      <c r="D93" s="274">
        <f>'[1]IceBank Account'!$P$4*'[1]IceBank Account'!G29*Efficiency</f>
        <v>110.00000000000001</v>
      </c>
      <c r="E93" s="274">
        <f>'[1]IceBank Account'!$U$4*'[1]IceBank Account'!H29*Efficiency</f>
        <v>0</v>
      </c>
      <c r="F93" s="295">
        <f t="shared" si="0"/>
        <v>461.69082125603859</v>
      </c>
      <c r="G93" s="286">
        <v>22</v>
      </c>
      <c r="H93" s="287">
        <f>IF('[1]IceBank Account'!B29="I",'[1]IceBank Account'!E29*$B$70*[2]Summary!$B$20,SUM(B93:E93)*[2]Summary!$B$15*[2]Summary!$B$19)</f>
        <v>351.69082125603859</v>
      </c>
      <c r="I93" s="287">
        <f t="shared" si="5"/>
        <v>351.69082125603859</v>
      </c>
      <c r="J93" s="287">
        <f t="shared" si="1"/>
        <v>0</v>
      </c>
    </row>
    <row r="94" spans="1:10">
      <c r="A94">
        <f t="shared" si="2"/>
        <v>23</v>
      </c>
      <c r="B94" s="274">
        <f>IF('[1]IceBank Account'!B30="I",'[1]IceBank Account'!E30*$B$70*[2]Summary!$B$20,'[1]IceBank Account'!J30*[2]Summary!$B$19)</f>
        <v>351.69082125603859</v>
      </c>
      <c r="C94" s="274">
        <f>IF($C$70=0,0,IF('[1]IceBank Account'!B30="I",'[1]IceBank Account'!E30*$B$70,'[1]IceBank Account'!K30))</f>
        <v>0</v>
      </c>
      <c r="D94" s="274">
        <f>'[1]IceBank Account'!$P$4*'[1]IceBank Account'!G30*Efficiency</f>
        <v>110.00000000000001</v>
      </c>
      <c r="E94" s="274">
        <f>'[1]IceBank Account'!$U$4*'[1]IceBank Account'!H30*Efficiency</f>
        <v>0</v>
      </c>
      <c r="F94" s="295">
        <f t="shared" si="0"/>
        <v>461.69082125603859</v>
      </c>
      <c r="G94">
        <v>23</v>
      </c>
      <c r="H94" s="46">
        <f>IF('[1]IceBank Account'!B30="I",'[1]IceBank Account'!E30*$B$70*[2]Summary!$B$20,SUM(B94:E94)*[2]Summary!$B$15*[2]Summary!$B$19)</f>
        <v>351.69082125603859</v>
      </c>
      <c r="I94" s="46">
        <v>0</v>
      </c>
      <c r="J94" s="46">
        <f t="shared" si="1"/>
        <v>351.69082125603859</v>
      </c>
    </row>
    <row r="95" spans="1:10">
      <c r="A95">
        <f t="shared" si="2"/>
        <v>24</v>
      </c>
      <c r="B95" s="274">
        <f>IF('[1]IceBank Account'!B31="I",'[1]IceBank Account'!E31*$B$70*[2]Summary!$B$20,'[1]IceBank Account'!J31*[2]Summary!$B$19)</f>
        <v>351.69082125603859</v>
      </c>
      <c r="C95" s="274">
        <f>IF($C$70=0,0,IF('[1]IceBank Account'!B31="I",'[1]IceBank Account'!E31*$B$70,'[1]IceBank Account'!K31))</f>
        <v>0</v>
      </c>
      <c r="D95" s="274">
        <f>'[1]IceBank Account'!$P$4*'[1]IceBank Account'!G31*Efficiency</f>
        <v>110.00000000000001</v>
      </c>
      <c r="E95" s="274">
        <f>'[1]IceBank Account'!$U$4*'[1]IceBank Account'!H31*Efficiency</f>
        <v>0</v>
      </c>
      <c r="F95" s="295">
        <f t="shared" si="0"/>
        <v>461.69082125603859</v>
      </c>
      <c r="G95">
        <v>24</v>
      </c>
      <c r="H95" s="46">
        <f>IF('[1]IceBank Account'!B31="I",'[1]IceBank Account'!E31*$B$70*[2]Summary!$B$20,SUM(B95:E95)*[2]Summary!$B$15*[2]Summary!$B$19)</f>
        <v>351.69082125603859</v>
      </c>
      <c r="I95" s="46">
        <v>0</v>
      </c>
      <c r="J95" s="46">
        <f t="shared" si="1"/>
        <v>351.69082125603859</v>
      </c>
    </row>
    <row r="96" spans="1:10">
      <c r="F96" s="295"/>
      <c r="I96" s="46"/>
    </row>
    <row r="97" spans="6:9">
      <c r="F97" s="295"/>
      <c r="H97" s="293" t="s">
        <v>211</v>
      </c>
      <c r="I97" s="292">
        <f>'[1]IceBank Account'!M33</f>
        <v>3956.5217391304341</v>
      </c>
    </row>
    <row r="98" spans="6:9">
      <c r="H98" s="293" t="s">
        <v>212</v>
      </c>
      <c r="I98" s="292">
        <f>I97*[2]Summary!$B$19</f>
        <v>3165.2173913043475</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3"/>
  <sheetViews>
    <sheetView zoomScale="80" zoomScaleNormal="80" workbookViewId="0">
      <selection activeCell="C13" sqref="C13"/>
    </sheetView>
  </sheetViews>
  <sheetFormatPr defaultRowHeight="14.5"/>
  <cols>
    <col min="2" max="2" width="34" customWidth="1"/>
    <col min="3" max="3" width="18.54296875" customWidth="1"/>
    <col min="4" max="4" width="14.81640625" customWidth="1"/>
  </cols>
  <sheetData>
    <row r="1" spans="1:4">
      <c r="A1" s="175" t="s">
        <v>117</v>
      </c>
    </row>
    <row r="2" spans="1:4">
      <c r="A2" t="s">
        <v>104</v>
      </c>
    </row>
    <row r="4" spans="1:4">
      <c r="A4" s="176" t="s">
        <v>118</v>
      </c>
    </row>
    <row r="6" spans="1:4">
      <c r="B6" s="204" t="s">
        <v>119</v>
      </c>
      <c r="C6" s="205">
        <f>16.62+1.25</f>
        <v>17.87</v>
      </c>
      <c r="D6" t="s">
        <v>120</v>
      </c>
    </row>
    <row r="7" spans="1:4" ht="15" thickBot="1">
      <c r="A7" s="206"/>
      <c r="B7" s="207" t="s">
        <v>121</v>
      </c>
      <c r="C7" s="208">
        <f>9.07+1.25</f>
        <v>10.32</v>
      </c>
      <c r="D7" s="209" t="s">
        <v>122</v>
      </c>
    </row>
    <row r="8" spans="1:4" ht="15" thickTop="1">
      <c r="A8" s="206"/>
      <c r="B8" s="210" t="s">
        <v>123</v>
      </c>
      <c r="C8" s="205">
        <f>(C6*4)+(C7*6)</f>
        <v>133.4</v>
      </c>
      <c r="D8" s="211" t="s">
        <v>124</v>
      </c>
    </row>
    <row r="9" spans="1:4">
      <c r="A9" s="206"/>
      <c r="B9" s="212"/>
      <c r="C9" s="213"/>
      <c r="D9" s="214"/>
    </row>
    <row r="11" spans="1:4">
      <c r="A11" s="176" t="s">
        <v>125</v>
      </c>
    </row>
    <row r="12" spans="1:4">
      <c r="B12" t="s">
        <v>126</v>
      </c>
      <c r="C12" s="215">
        <f>PeakLoad</f>
        <v>250</v>
      </c>
    </row>
    <row r="13" spans="1:4">
      <c r="B13" t="s">
        <v>127</v>
      </c>
      <c r="C13" s="216">
        <f>MAX('Chiller Input &amp; Cooling Profile'!$K$6:$K$29)</f>
        <v>147.93577981651376</v>
      </c>
    </row>
    <row r="14" spans="1:4">
      <c r="B14" s="217" t="s">
        <v>128</v>
      </c>
      <c r="C14" s="218">
        <f>C12-C13</f>
        <v>102.06422018348624</v>
      </c>
    </row>
    <row r="15" spans="1:4" ht="5.25" customHeight="1"/>
    <row r="16" spans="1:4">
      <c r="B16" t="s">
        <v>129</v>
      </c>
      <c r="C16" s="219">
        <f>Efficiency</f>
        <v>1.1000000000000001</v>
      </c>
    </row>
    <row r="17" spans="1:3">
      <c r="B17" t="s">
        <v>130</v>
      </c>
      <c r="C17" s="220">
        <f>C14*C16</f>
        <v>112.27064220183487</v>
      </c>
    </row>
    <row r="19" spans="1:3">
      <c r="A19" s="176" t="s">
        <v>131</v>
      </c>
    </row>
    <row r="20" spans="1:3">
      <c r="B20" t="s">
        <v>132</v>
      </c>
      <c r="C20" s="220">
        <f>C17</f>
        <v>112.27064220183487</v>
      </c>
    </row>
    <row r="21" spans="1:3" ht="15" thickBot="1">
      <c r="B21" s="221" t="s">
        <v>133</v>
      </c>
      <c r="C21" s="208">
        <f>C8</f>
        <v>133.4</v>
      </c>
    </row>
    <row r="22" spans="1:3" ht="15" thickTop="1">
      <c r="B22" s="175" t="s">
        <v>134</v>
      </c>
      <c r="C22" s="222">
        <f>C20*C21</f>
        <v>14976.903669724772</v>
      </c>
    </row>
    <row r="23" spans="1:3">
      <c r="B23" s="223"/>
      <c r="C23" s="224"/>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7030A0"/>
  </sheetPr>
  <dimension ref="A1:O30"/>
  <sheetViews>
    <sheetView zoomScale="70" zoomScaleNormal="70" workbookViewId="0">
      <selection activeCell="E30" sqref="E30"/>
    </sheetView>
  </sheetViews>
  <sheetFormatPr defaultRowHeight="14.5"/>
  <cols>
    <col min="1" max="1" width="4.453125" customWidth="1"/>
    <col min="2" max="3" width="6.453125" customWidth="1"/>
    <col min="4" max="4" width="23.1796875" customWidth="1"/>
    <col min="5" max="5" width="19.1796875" style="1" customWidth="1"/>
    <col min="6" max="6" width="18.26953125" style="1" customWidth="1"/>
    <col min="7" max="7" width="19.453125" style="1" customWidth="1"/>
    <col min="8" max="8" width="24" customWidth="1"/>
    <col min="9" max="9" width="18.453125" style="1" customWidth="1"/>
    <col min="10" max="10" width="24.1796875" customWidth="1"/>
    <col min="11" max="11" width="20" customWidth="1"/>
    <col min="12" max="12" width="23.81640625" customWidth="1"/>
    <col min="13" max="13" width="10.453125" customWidth="1"/>
    <col min="14" max="14" width="23" bestFit="1" customWidth="1"/>
  </cols>
  <sheetData>
    <row r="1" spans="1:15" ht="15" thickTop="1">
      <c r="A1" s="476" t="s">
        <v>9</v>
      </c>
      <c r="B1" s="477"/>
      <c r="C1" s="477"/>
      <c r="D1" s="477"/>
      <c r="E1" s="477"/>
      <c r="F1" s="477"/>
      <c r="G1" s="477"/>
      <c r="H1" s="477"/>
      <c r="I1" s="477"/>
      <c r="J1" s="477"/>
      <c r="K1" s="174"/>
      <c r="L1" s="30" t="s">
        <v>7</v>
      </c>
      <c r="M1" s="28">
        <v>100</v>
      </c>
      <c r="N1" s="32" t="s">
        <v>6</v>
      </c>
      <c r="O1" s="39">
        <v>100</v>
      </c>
    </row>
    <row r="2" spans="1:15">
      <c r="A2" s="477"/>
      <c r="B2" s="477"/>
      <c r="C2" s="477"/>
      <c r="D2" s="477"/>
      <c r="E2" s="477"/>
      <c r="F2" s="477"/>
      <c r="G2" s="477"/>
      <c r="H2" s="477"/>
      <c r="I2" s="477"/>
      <c r="J2" s="477"/>
      <c r="K2" s="174"/>
      <c r="L2" s="31" t="s">
        <v>25</v>
      </c>
      <c r="M2" s="29">
        <v>1</v>
      </c>
      <c r="N2" s="32" t="s">
        <v>25</v>
      </c>
      <c r="O2" s="29">
        <v>1</v>
      </c>
    </row>
    <row r="3" spans="1:15">
      <c r="A3" s="477"/>
      <c r="B3" s="477"/>
      <c r="C3" s="477"/>
      <c r="D3" s="477"/>
      <c r="E3" s="477"/>
      <c r="F3" s="477"/>
      <c r="G3" s="477"/>
      <c r="H3" s="477"/>
      <c r="I3" s="477"/>
      <c r="J3" s="477"/>
      <c r="K3" s="174"/>
      <c r="L3" s="31" t="s">
        <v>24</v>
      </c>
      <c r="M3" s="29">
        <v>0.65</v>
      </c>
      <c r="N3" s="32" t="s">
        <v>24</v>
      </c>
      <c r="O3" s="29">
        <v>0.65</v>
      </c>
    </row>
    <row r="4" spans="1:15" ht="15" thickBot="1">
      <c r="A4" s="1"/>
      <c r="B4" s="1"/>
      <c r="C4" s="1"/>
      <c r="D4" s="2"/>
    </row>
    <row r="5" spans="1:15" s="8" customFormat="1" ht="31.5" customHeight="1" thickBot="1">
      <c r="A5" s="18"/>
      <c r="B5" s="19" t="s">
        <v>1</v>
      </c>
      <c r="C5" s="19" t="s">
        <v>11</v>
      </c>
      <c r="D5" s="20" t="s">
        <v>8</v>
      </c>
      <c r="E5" s="19" t="s">
        <v>7</v>
      </c>
      <c r="F5" s="19" t="s">
        <v>6</v>
      </c>
      <c r="G5" s="19" t="s">
        <v>5</v>
      </c>
      <c r="H5" s="21" t="s">
        <v>4</v>
      </c>
      <c r="I5" s="22" t="s">
        <v>3</v>
      </c>
      <c r="J5" s="22" t="s">
        <v>2</v>
      </c>
      <c r="K5" s="236" t="s">
        <v>135</v>
      </c>
      <c r="L5" s="226"/>
      <c r="M5" s="35"/>
    </row>
    <row r="6" spans="1:15">
      <c r="A6" s="9"/>
      <c r="B6" s="10">
        <v>1</v>
      </c>
      <c r="C6" s="10" t="str">
        <f>'IceBank Account'!B8</f>
        <v>I</v>
      </c>
      <c r="D6" s="11">
        <f>'IceBank Account'!C8</f>
        <v>0</v>
      </c>
      <c r="E6" s="10">
        <f>'IceBank Account'!P4*'IceBank Account'!P5</f>
        <v>0</v>
      </c>
      <c r="F6" s="10">
        <f>'IceBank Account'!U4*'IceBank Account'!U5</f>
        <v>0</v>
      </c>
      <c r="G6" s="4">
        <f>IF(C6="I",0,IF(C6="p",IF(D6-E6-F6&gt;='Chiller Calcs'!W39,'Chiller Calcs'!W39,0),0))</f>
        <v>0</v>
      </c>
      <c r="H6" s="15">
        <f>IF(C6="I",'Chiller Calcs'!W39*'IceBank Account'!F5,0)</f>
        <v>96.158256880733944</v>
      </c>
      <c r="I6" s="13">
        <f t="shared" ref="I6:I12" si="0">IF(C6="p",IF(D6-E6-F6-G6&lt;=0,0,D6-E6-F6-G6),0)</f>
        <v>0</v>
      </c>
      <c r="J6" s="25">
        <f>IF(C6="I",J29+H6,J29-I6)</f>
        <v>288.47477064220186</v>
      </c>
      <c r="K6" s="237">
        <f>E6+F6+G6+H6</f>
        <v>96.158256880733944</v>
      </c>
      <c r="L6" s="227" t="s">
        <v>14</v>
      </c>
      <c r="M6" s="39">
        <v>377</v>
      </c>
    </row>
    <row r="7" spans="1:15">
      <c r="A7" s="3"/>
      <c r="B7" s="4">
        <v>2</v>
      </c>
      <c r="C7" s="10" t="str">
        <f>'IceBank Account'!B9</f>
        <v>I</v>
      </c>
      <c r="D7" s="11">
        <f>'IceBank Account'!C9</f>
        <v>0</v>
      </c>
      <c r="E7" s="10">
        <f>'IceBank Account'!P4*'IceBank Account'!P5</f>
        <v>0</v>
      </c>
      <c r="F7" s="10">
        <f>'IceBank Account'!U4*'IceBank Account'!U5</f>
        <v>0</v>
      </c>
      <c r="G7" s="4">
        <f>IF(C7="I",0,IF(C7="p",IF(D7-E7-F7&gt;='Chiller Calcs'!W39,'Chiller Calcs'!W39,0),0))</f>
        <v>0</v>
      </c>
      <c r="H7" s="15">
        <f>IF(C7="I",'Chiller Calcs'!W39*'IceBank Account'!F5,0)</f>
        <v>96.158256880733944</v>
      </c>
      <c r="I7" s="13">
        <f t="shared" si="0"/>
        <v>0</v>
      </c>
      <c r="J7" s="25">
        <f t="shared" ref="J7:J14" si="1">IF(C7="I",J6+H7,J6-I7)</f>
        <v>384.63302752293578</v>
      </c>
      <c r="K7" s="237">
        <f t="shared" ref="K7:K30" si="2">E7+F7+G7+H7</f>
        <v>96.158256880733944</v>
      </c>
      <c r="L7" s="227" t="s">
        <v>13</v>
      </c>
      <c r="M7" s="39">
        <v>0.66</v>
      </c>
    </row>
    <row r="8" spans="1:15" ht="15" thickBot="1">
      <c r="A8" s="3"/>
      <c r="B8" s="4">
        <v>3</v>
      </c>
      <c r="C8" s="10" t="str">
        <f>'IceBank Account'!B10</f>
        <v>I</v>
      </c>
      <c r="D8" s="11">
        <f>'IceBank Account'!C10</f>
        <v>0</v>
      </c>
      <c r="E8" s="10">
        <f>'IceBank Account'!P4*'IceBank Account'!P5</f>
        <v>0</v>
      </c>
      <c r="F8" s="10">
        <f>'IceBank Account'!U4*'IceBank Account'!U5</f>
        <v>0</v>
      </c>
      <c r="G8" s="4">
        <f>IF(C8="I",0,IF(C8="p",IF(D8-E8-F8&gt;='Chiller Calcs'!W39,'Chiller Calcs'!W39,0),0))</f>
        <v>0</v>
      </c>
      <c r="H8" s="15">
        <f>IF(C8="I",'Chiller Calcs'!W39*'IceBank Account'!F5,0)</f>
        <v>96.158256880733944</v>
      </c>
      <c r="I8" s="13">
        <f t="shared" si="0"/>
        <v>0</v>
      </c>
      <c r="J8" s="25">
        <f t="shared" si="1"/>
        <v>480.79128440366969</v>
      </c>
      <c r="K8" s="237">
        <f t="shared" si="2"/>
        <v>96.158256880733944</v>
      </c>
      <c r="L8" s="228" t="s">
        <v>20</v>
      </c>
      <c r="M8" s="36">
        <f>H30</f>
        <v>576.94954128440361</v>
      </c>
      <c r="N8" s="34"/>
    </row>
    <row r="9" spans="1:15" ht="15.5" thickTop="1" thickBot="1">
      <c r="A9" s="3"/>
      <c r="B9" s="4">
        <v>4</v>
      </c>
      <c r="C9" s="10" t="str">
        <f>'IceBank Account'!B11</f>
        <v>I</v>
      </c>
      <c r="D9" s="11">
        <f>'IceBank Account'!C11</f>
        <v>0</v>
      </c>
      <c r="E9" s="10">
        <f>'IceBank Account'!P4*'IceBank Account'!P5</f>
        <v>0</v>
      </c>
      <c r="F9" s="10">
        <f>'IceBank Account'!U4*'IceBank Account'!U5</f>
        <v>0</v>
      </c>
      <c r="G9" s="4">
        <f>IF(C9="I",0,IF(C9="p",IF(D9-E9-F9&gt;='Chiller Calcs'!W39,'Chiller Calcs'!W39,0),0))</f>
        <v>0</v>
      </c>
      <c r="H9" s="15">
        <f>IF(C9="I",'Chiller Calcs'!W39*'IceBank Account'!F5,0)</f>
        <v>96.158256880733944</v>
      </c>
      <c r="I9" s="13">
        <f t="shared" si="0"/>
        <v>0</v>
      </c>
      <c r="J9" s="25">
        <f t="shared" si="1"/>
        <v>576.94954128440361</v>
      </c>
      <c r="K9" s="237">
        <f t="shared" si="2"/>
        <v>96.158256880733944</v>
      </c>
      <c r="L9" s="37"/>
      <c r="M9" s="38"/>
      <c r="N9" s="33"/>
    </row>
    <row r="10" spans="1:15" ht="15" thickTop="1">
      <c r="A10" s="3"/>
      <c r="B10" s="4">
        <v>5</v>
      </c>
      <c r="C10" s="10" t="str">
        <f>'IceBank Account'!B12</f>
        <v>P</v>
      </c>
      <c r="D10" s="11">
        <f>'IceBank Account'!C12</f>
        <v>0</v>
      </c>
      <c r="E10" s="10">
        <f>'IceBank Account'!P4*'IceBank Account'!P5</f>
        <v>0</v>
      </c>
      <c r="F10" s="10">
        <f>'IceBank Account'!U4*'IceBank Account'!U5</f>
        <v>0</v>
      </c>
      <c r="G10" s="4">
        <f>IF(C10="I",0,IF(C10="p",IF(D10-E10-F10&gt;='Chiller Calcs'!W39,'Chiller Calcs'!W39,0),0))</f>
        <v>0</v>
      </c>
      <c r="H10" s="15">
        <f>IF(C10="I",'Chiller Calcs'!W39*'IceBank Account'!F5,0)</f>
        <v>0</v>
      </c>
      <c r="I10" s="13">
        <f t="shared" si="0"/>
        <v>0</v>
      </c>
      <c r="J10" s="25">
        <f t="shared" si="1"/>
        <v>576.94954128440361</v>
      </c>
      <c r="K10" s="237">
        <f t="shared" si="2"/>
        <v>0</v>
      </c>
      <c r="L10" s="229" t="s">
        <v>15</v>
      </c>
      <c r="M10" s="40">
        <f>COUNTIF(H6:H28,"&gt;0")</f>
        <v>5</v>
      </c>
      <c r="N10" s="34"/>
    </row>
    <row r="11" spans="1:15">
      <c r="A11" s="3"/>
      <c r="B11" s="4">
        <v>6</v>
      </c>
      <c r="C11" s="10" t="str">
        <f>'IceBank Account'!B13</f>
        <v>P</v>
      </c>
      <c r="D11" s="11">
        <f>'IceBank Account'!C13</f>
        <v>0</v>
      </c>
      <c r="E11" s="10">
        <f>'IceBank Account'!P4*'IceBank Account'!P5</f>
        <v>0</v>
      </c>
      <c r="F11" s="10">
        <f>'IceBank Account'!U4*'IceBank Account'!U5</f>
        <v>0</v>
      </c>
      <c r="G11" s="4">
        <f>IF(C11="I",0,IF(C11="p",IF(D11-E11-F11&gt;='Chiller Calcs'!W39,'Chiller Calcs'!W39,0),0))</f>
        <v>0</v>
      </c>
      <c r="H11" s="15">
        <f>IF(C11="I",'Chiller Calcs'!W39*'IceBank Account'!F5,0)</f>
        <v>0</v>
      </c>
      <c r="I11" s="13">
        <f t="shared" si="0"/>
        <v>0</v>
      </c>
      <c r="J11" s="25">
        <f>IF(C11="I",J10+H11,J10-I11)</f>
        <v>576.94954128440361</v>
      </c>
      <c r="K11" s="237">
        <f t="shared" si="2"/>
        <v>0</v>
      </c>
      <c r="L11" s="230" t="s">
        <v>16</v>
      </c>
      <c r="M11" s="41">
        <f>COUNTIF(D6:D28,"&gt;0")</f>
        <v>12</v>
      </c>
      <c r="N11" s="34"/>
    </row>
    <row r="12" spans="1:15" ht="15" thickBot="1">
      <c r="A12" s="3"/>
      <c r="B12" s="4">
        <v>7</v>
      </c>
      <c r="C12" s="10" t="str">
        <f>'IceBank Account'!B14</f>
        <v>P</v>
      </c>
      <c r="D12" s="11">
        <f>'IceBank Account'!C14</f>
        <v>62.5</v>
      </c>
      <c r="E12" s="10">
        <f>'IceBank Account'!P4*'IceBank Account'!P5</f>
        <v>0</v>
      </c>
      <c r="F12" s="10">
        <f>'IceBank Account'!U4*'IceBank Account'!U5</f>
        <v>0</v>
      </c>
      <c r="G12" s="4">
        <f>IF(C12="I",0,IF(C12="p",IF(D12-E12-F12&gt;='Chiller Calcs'!W39,'Chiller Calcs'!W39,0),0))</f>
        <v>0</v>
      </c>
      <c r="H12" s="15">
        <f>IF(C12="I",'Chiller Calcs'!W39*'IceBank Account'!F5,0)</f>
        <v>0</v>
      </c>
      <c r="I12" s="13">
        <f t="shared" si="0"/>
        <v>62.5</v>
      </c>
      <c r="J12" s="25">
        <f t="shared" si="1"/>
        <v>514.44954128440361</v>
      </c>
      <c r="K12" s="237">
        <f t="shared" si="2"/>
        <v>0</v>
      </c>
      <c r="L12" s="231"/>
      <c r="M12" s="42"/>
      <c r="N12" s="34"/>
    </row>
    <row r="13" spans="1:15" ht="15.5" thickTop="1" thickBot="1">
      <c r="A13" s="3"/>
      <c r="B13" s="4">
        <v>8</v>
      </c>
      <c r="C13" s="10" t="str">
        <f>'IceBank Account'!B15</f>
        <v>P</v>
      </c>
      <c r="D13" s="11">
        <f>'IceBank Account'!C15</f>
        <v>112.5</v>
      </c>
      <c r="E13" s="10">
        <f>'IceBank Account'!P4*'IceBank Account'!P5</f>
        <v>0</v>
      </c>
      <c r="F13" s="10">
        <f>'IceBank Account'!U4*'IceBank Account'!U5</f>
        <v>0</v>
      </c>
      <c r="G13" s="4">
        <f>IF(C13="I",0,IF(C13="p",IF(D13-E13-F13&gt;='Chiller Calcs'!W39,'Chiller Calcs'!W39,0),0))</f>
        <v>0</v>
      </c>
      <c r="H13" s="15">
        <f>IF(C13="I",'Chiller Calcs'!W39*'IceBank Account'!F5,0)</f>
        <v>0</v>
      </c>
      <c r="I13" s="13">
        <f>IF(C13="p",IF(D13-E13-F13-G13&lt;=0,0,D13-E13-F13-G13),0)</f>
        <v>112.5</v>
      </c>
      <c r="J13" s="25">
        <f>IF(C13="I",J12+H13,J12-I13)</f>
        <v>401.94954128440361</v>
      </c>
      <c r="K13" s="237">
        <f t="shared" si="2"/>
        <v>0</v>
      </c>
      <c r="L13" s="232" t="s">
        <v>17</v>
      </c>
      <c r="M13" s="43">
        <f>D30</f>
        <v>2012.5</v>
      </c>
    </row>
    <row r="14" spans="1:15" ht="15" thickTop="1">
      <c r="A14" s="3"/>
      <c r="B14" s="4">
        <v>9</v>
      </c>
      <c r="C14" s="10" t="str">
        <f>'IceBank Account'!B16</f>
        <v>P</v>
      </c>
      <c r="D14" s="11">
        <f>'IceBank Account'!C16</f>
        <v>187.5</v>
      </c>
      <c r="E14" s="10">
        <f>'IceBank Account'!P4*'IceBank Account'!P5</f>
        <v>0</v>
      </c>
      <c r="F14" s="10">
        <f>'IceBank Account'!U4*'IceBank Account'!U5</f>
        <v>0</v>
      </c>
      <c r="G14" s="4">
        <f>IF(C14="I",0,IF(C14="p",IF(D14-E14-F14&gt;='Chiller Calcs'!W39,'Chiller Calcs'!W39,0),0))</f>
        <v>147.93577981651376</v>
      </c>
      <c r="H14" s="17">
        <f>IF(C14="I",'Chiller Calcs'!W39*'IceBank Account'!F5,0)</f>
        <v>0</v>
      </c>
      <c r="I14" s="13">
        <f>IF(C14="p",IF(D14-E14-F14-G14&lt;=0,0,D14-E14-F14-G14),0)</f>
        <v>39.564220183486242</v>
      </c>
      <c r="J14" s="25">
        <f t="shared" si="1"/>
        <v>362.38532110091739</v>
      </c>
      <c r="K14" s="237">
        <f t="shared" si="2"/>
        <v>147.93577981651376</v>
      </c>
      <c r="L14" s="231"/>
      <c r="M14" s="42"/>
    </row>
    <row r="15" spans="1:15">
      <c r="A15" s="3"/>
      <c r="B15" s="4">
        <v>10</v>
      </c>
      <c r="C15" s="10" t="str">
        <f>'IceBank Account'!B17</f>
        <v>P</v>
      </c>
      <c r="D15" s="11">
        <f>'IceBank Account'!C17</f>
        <v>225</v>
      </c>
      <c r="E15" s="10">
        <f>'IceBank Account'!P4*'IceBank Account'!P5</f>
        <v>0</v>
      </c>
      <c r="F15" s="10">
        <f>'IceBank Account'!U4*'IceBank Account'!U5</f>
        <v>0</v>
      </c>
      <c r="G15" s="4">
        <f>IF(C15="I",0,IF(C15="p",IF(D15-E15-F15&gt;='Chiller Calcs'!W39,'Chiller Calcs'!W39,0),0))</f>
        <v>147.93577981651376</v>
      </c>
      <c r="H15" s="17">
        <f>IF(C15="I",'Chiller Calcs'!W39*'IceBank Account'!F5,0)</f>
        <v>0</v>
      </c>
      <c r="I15" s="13">
        <f t="shared" ref="I15:I29" si="3">IF(C15="p",IF(D15-E15-F15-G15&lt;=0,0,D15-E15-F15-G15),0)</f>
        <v>77.064220183486242</v>
      </c>
      <c r="J15" s="25">
        <f t="shared" ref="J15:J23" si="4">IF(C15="I",J14+H15,J14-I15)</f>
        <v>285.32110091743118</v>
      </c>
      <c r="K15" s="237">
        <f t="shared" si="2"/>
        <v>147.93577981651376</v>
      </c>
      <c r="L15" s="233" t="s">
        <v>18</v>
      </c>
      <c r="M15" s="44">
        <f>E30+F30</f>
        <v>0</v>
      </c>
    </row>
    <row r="16" spans="1:15">
      <c r="A16" s="3"/>
      <c r="B16" s="4">
        <v>11</v>
      </c>
      <c r="C16" s="10" t="str">
        <f>'IceBank Account'!B18</f>
        <v>P</v>
      </c>
      <c r="D16" s="11">
        <f>'IceBank Account'!C18</f>
        <v>250</v>
      </c>
      <c r="E16" s="10">
        <f>'IceBank Account'!P4*'IceBank Account'!P5</f>
        <v>0</v>
      </c>
      <c r="F16" s="10">
        <f>'IceBank Account'!U4*'IceBank Account'!U5</f>
        <v>0</v>
      </c>
      <c r="G16" s="4">
        <f>IF(C16="I",0,IF(C16="p",IF(D16-E16-F16&gt;='Chiller Calcs'!W39,'Chiller Calcs'!W39,0),0))</f>
        <v>147.93577981651376</v>
      </c>
      <c r="H16" s="17">
        <f>IF(C16="I",'Chiller Calcs'!W39*'IceBank Account'!F5,0)</f>
        <v>0</v>
      </c>
      <c r="I16" s="13">
        <f t="shared" si="3"/>
        <v>102.06422018348624</v>
      </c>
      <c r="J16" s="25">
        <f t="shared" si="4"/>
        <v>183.25688073394494</v>
      </c>
      <c r="K16" s="237">
        <f t="shared" si="2"/>
        <v>147.93577981651376</v>
      </c>
      <c r="L16" s="233" t="s">
        <v>19</v>
      </c>
      <c r="M16" s="44">
        <f>G30</f>
        <v>1035.5504587155963</v>
      </c>
    </row>
    <row r="17" spans="1:14" ht="15" thickBot="1">
      <c r="A17" s="3" t="s">
        <v>0</v>
      </c>
      <c r="B17" s="4">
        <v>12</v>
      </c>
      <c r="C17" s="10" t="str">
        <f>'IceBank Account'!B19</f>
        <v>P</v>
      </c>
      <c r="D17" s="11">
        <f>'IceBank Account'!C19</f>
        <v>250</v>
      </c>
      <c r="E17" s="10">
        <f>'IceBank Account'!P4*'IceBank Account'!P5</f>
        <v>0</v>
      </c>
      <c r="F17" s="10">
        <f>'IceBank Account'!U4*'IceBank Account'!U5</f>
        <v>0</v>
      </c>
      <c r="G17" s="4">
        <f>IF(C17="I",0,IF(C17="p",IF(D17-E17-F17&gt;='Chiller Calcs'!W39,'Chiller Calcs'!W39,0),0))</f>
        <v>147.93577981651376</v>
      </c>
      <c r="H17" s="17">
        <f>IF(C17="I",'Chiller Calcs'!W39*'IceBank Account'!F5,0)</f>
        <v>0</v>
      </c>
      <c r="I17" s="13">
        <f t="shared" si="3"/>
        <v>102.06422018348624</v>
      </c>
      <c r="J17" s="25">
        <f t="shared" si="4"/>
        <v>81.192660550458697</v>
      </c>
      <c r="K17" s="237">
        <f t="shared" si="2"/>
        <v>147.93577981651376</v>
      </c>
      <c r="L17" s="233" t="s">
        <v>20</v>
      </c>
      <c r="M17" s="44">
        <f>H30</f>
        <v>576.94954128440361</v>
      </c>
    </row>
    <row r="18" spans="1:14" ht="15.5" thickTop="1" thickBot="1">
      <c r="A18" s="3">
        <v>1</v>
      </c>
      <c r="B18" s="4">
        <v>13</v>
      </c>
      <c r="C18" s="10" t="str">
        <f>'IceBank Account'!B20</f>
        <v>P</v>
      </c>
      <c r="D18" s="11">
        <f>'IceBank Account'!C20</f>
        <v>250</v>
      </c>
      <c r="E18" s="10">
        <f>'IceBank Account'!P4*'IceBank Account'!P5</f>
        <v>0</v>
      </c>
      <c r="F18" s="10">
        <f>'IceBank Account'!U4*'IceBank Account'!U5</f>
        <v>0</v>
      </c>
      <c r="G18" s="4">
        <f>IF(C18="I",0,IF(C18="p",IF(D18-E18-F18&gt;='Chiller Calcs'!W39,'Chiller Calcs'!W39,0),0))</f>
        <v>147.93577981651376</v>
      </c>
      <c r="H18" s="17">
        <f>IF(C18="I",'Chiller Calcs'!W39*'IceBank Account'!F5,0)</f>
        <v>0</v>
      </c>
      <c r="I18" s="13">
        <f t="shared" si="3"/>
        <v>102.06422018348624</v>
      </c>
      <c r="J18" s="25">
        <f t="shared" si="4"/>
        <v>-20.871559633027545</v>
      </c>
      <c r="K18" s="237">
        <f t="shared" si="2"/>
        <v>147.93577981651376</v>
      </c>
      <c r="L18" s="234" t="s">
        <v>21</v>
      </c>
      <c r="M18" s="45">
        <f>SUM(M15:M17)</f>
        <v>1612.5</v>
      </c>
    </row>
    <row r="19" spans="1:14" ht="15" thickTop="1">
      <c r="A19" s="3">
        <v>2</v>
      </c>
      <c r="B19" s="4">
        <v>14</v>
      </c>
      <c r="C19" s="10" t="str">
        <f>'IceBank Account'!B21</f>
        <v>P</v>
      </c>
      <c r="D19" s="11">
        <f>'IceBank Account'!C21</f>
        <v>250</v>
      </c>
      <c r="E19" s="10">
        <f>'IceBank Account'!P4*'IceBank Account'!P5</f>
        <v>0</v>
      </c>
      <c r="F19" s="10">
        <f>'IceBank Account'!U4*'IceBank Account'!U5</f>
        <v>0</v>
      </c>
      <c r="G19" s="4">
        <f>IF(C19="I",0,IF(C19="p",IF(D19-E19-F19&gt;='Chiller Calcs'!W39,'Chiller Calcs'!W39,0),0))</f>
        <v>147.93577981651376</v>
      </c>
      <c r="H19" s="17">
        <f>IF(C19="I",'Chiller Calcs'!W39*'IceBank Account'!F5,0)</f>
        <v>0</v>
      </c>
      <c r="I19" s="13">
        <f t="shared" si="3"/>
        <v>102.06422018348624</v>
      </c>
      <c r="J19" s="25">
        <f>IF(C19="I",J18+H19,J18-I19)</f>
        <v>-122.93577981651379</v>
      </c>
      <c r="K19" s="237">
        <f t="shared" si="2"/>
        <v>147.93577981651376</v>
      </c>
    </row>
    <row r="20" spans="1:14">
      <c r="A20" s="3">
        <v>3</v>
      </c>
      <c r="B20" s="4">
        <v>15</v>
      </c>
      <c r="C20" s="10" t="str">
        <f>'IceBank Account'!B22</f>
        <v>P</v>
      </c>
      <c r="D20" s="11">
        <f>'IceBank Account'!C22</f>
        <v>200</v>
      </c>
      <c r="E20" s="10">
        <f>'IceBank Account'!P4*'IceBank Account'!P5</f>
        <v>0</v>
      </c>
      <c r="F20" s="10">
        <f>'IceBank Account'!U4*'IceBank Account'!U5</f>
        <v>0</v>
      </c>
      <c r="G20" s="4">
        <f>IF(C20="I",0,IF(C20="p",IF(D20-E20-F20&gt;='Chiller Calcs'!W39,'Chiller Calcs'!W39,0),0))</f>
        <v>147.93577981651376</v>
      </c>
      <c r="H20" s="17">
        <f>IF(C20="I",'Chiller Calcs'!W39*'IceBank Account'!F5,0)</f>
        <v>0</v>
      </c>
      <c r="I20" s="13">
        <f t="shared" si="3"/>
        <v>52.064220183486242</v>
      </c>
      <c r="J20" s="25">
        <f t="shared" si="4"/>
        <v>-175.00000000000003</v>
      </c>
      <c r="K20" s="237">
        <f t="shared" si="2"/>
        <v>147.93577981651376</v>
      </c>
    </row>
    <row r="21" spans="1:14">
      <c r="A21" s="3">
        <v>4</v>
      </c>
      <c r="B21" s="4">
        <v>16</v>
      </c>
      <c r="C21" s="10" t="str">
        <f>'IceBank Account'!B23</f>
        <v>P</v>
      </c>
      <c r="D21" s="11">
        <f>'IceBank Account'!C23</f>
        <v>125</v>
      </c>
      <c r="E21" s="10">
        <f>'IceBank Account'!P4*'IceBank Account'!P5</f>
        <v>0</v>
      </c>
      <c r="F21" s="10">
        <f>'IceBank Account'!U4*'IceBank Account'!U5</f>
        <v>0</v>
      </c>
      <c r="G21" s="4">
        <f>IF(C21="I",0,IF(C21="p",IF(D21-E21-F21&gt;='Chiller Calcs'!W39,'Chiller Calcs'!W39,0),0))</f>
        <v>0</v>
      </c>
      <c r="H21" s="17">
        <f>IF(C21="I",'Chiller Calcs'!W39*'IceBank Account'!F5,0)</f>
        <v>0</v>
      </c>
      <c r="I21" s="13">
        <f t="shared" si="3"/>
        <v>125</v>
      </c>
      <c r="J21" s="25">
        <f t="shared" si="4"/>
        <v>-300</v>
      </c>
      <c r="K21" s="237">
        <f t="shared" si="2"/>
        <v>0</v>
      </c>
    </row>
    <row r="22" spans="1:14">
      <c r="A22" s="3">
        <v>5</v>
      </c>
      <c r="B22" s="4">
        <v>17</v>
      </c>
      <c r="C22" s="10" t="str">
        <f>'IceBank Account'!B24</f>
        <v>P</v>
      </c>
      <c r="D22" s="11">
        <f>'IceBank Account'!C24</f>
        <v>50</v>
      </c>
      <c r="E22" s="10">
        <f>'IceBank Account'!P4*'IceBank Account'!P5</f>
        <v>0</v>
      </c>
      <c r="F22" s="10">
        <f>'IceBank Account'!U4*'IceBank Account'!U5</f>
        <v>0</v>
      </c>
      <c r="G22" s="4">
        <f>IF(C22="I",0,IF(C22="p",IF(D22-E22-F22&gt;='Chiller Calcs'!W39,'Chiller Calcs'!W39,0),0))</f>
        <v>0</v>
      </c>
      <c r="H22" s="17">
        <f>IF(C22="I",'Chiller Calcs'!W39*'IceBank Account'!F5,0)</f>
        <v>0</v>
      </c>
      <c r="I22" s="13">
        <f t="shared" si="3"/>
        <v>50</v>
      </c>
      <c r="J22" s="25">
        <f t="shared" si="4"/>
        <v>-350</v>
      </c>
      <c r="K22" s="237">
        <f t="shared" si="2"/>
        <v>0</v>
      </c>
    </row>
    <row r="23" spans="1:14">
      <c r="A23" s="3">
        <v>6</v>
      </c>
      <c r="B23" s="4">
        <v>18</v>
      </c>
      <c r="C23" s="10" t="str">
        <f>'IceBank Account'!B25</f>
        <v>P</v>
      </c>
      <c r="D23" s="11">
        <f>'IceBank Account'!C25</f>
        <v>50</v>
      </c>
      <c r="E23" s="10">
        <f>'IceBank Account'!P4*'IceBank Account'!P5</f>
        <v>0</v>
      </c>
      <c r="F23" s="10">
        <f>'IceBank Account'!U4*'IceBank Account'!U5</f>
        <v>0</v>
      </c>
      <c r="G23" s="4">
        <f>IF(C23="I",0,IF(C23="p",IF(D23-E23-F23&gt;='Chiller Calcs'!W39,'Chiller Calcs'!W39,0),0))</f>
        <v>0</v>
      </c>
      <c r="H23" s="17">
        <f>IF(C23="I",'Chiller Calcs'!W39*'IceBank Account'!F5,0)</f>
        <v>0</v>
      </c>
      <c r="I23" s="13">
        <v>248</v>
      </c>
      <c r="J23" s="25">
        <f t="shared" si="4"/>
        <v>-598</v>
      </c>
      <c r="K23" s="237">
        <f t="shared" si="2"/>
        <v>0</v>
      </c>
    </row>
    <row r="24" spans="1:14">
      <c r="A24" s="3">
        <v>7</v>
      </c>
      <c r="B24" s="4">
        <v>19</v>
      </c>
      <c r="C24" s="10" t="str">
        <f>'IceBank Account'!B26</f>
        <v>P</v>
      </c>
      <c r="D24" s="11">
        <f>'IceBank Account'!C26</f>
        <v>0</v>
      </c>
      <c r="E24" s="10">
        <f>'IceBank Account'!P4*'IceBank Account'!P5</f>
        <v>0</v>
      </c>
      <c r="F24" s="10">
        <f>'IceBank Account'!U4*'IceBank Account'!U5</f>
        <v>0</v>
      </c>
      <c r="G24" s="4">
        <f>IF(C24="I",0,IF(C24="p",IF(D24-E24-F24&gt;='Chiller Calcs'!W39,'Chiller Calcs'!W39,0),0))</f>
        <v>0</v>
      </c>
      <c r="H24" s="17">
        <f>IF(C24="I",'Chiller Calcs'!W39*'IceBank Account'!F5,0)</f>
        <v>0</v>
      </c>
      <c r="I24" s="13">
        <f t="shared" si="3"/>
        <v>0</v>
      </c>
      <c r="J24" s="25">
        <f>IF(C24="I",J23+H24,J23-I24)</f>
        <v>-598</v>
      </c>
      <c r="K24" s="237">
        <f t="shared" si="2"/>
        <v>0</v>
      </c>
      <c r="L24" s="12"/>
      <c r="M24" s="23"/>
    </row>
    <row r="25" spans="1:14">
      <c r="A25" s="3">
        <v>8</v>
      </c>
      <c r="B25" s="4">
        <v>20</v>
      </c>
      <c r="C25" s="10" t="str">
        <f>'IceBank Account'!B27</f>
        <v>P</v>
      </c>
      <c r="D25" s="11">
        <f>'IceBank Account'!C27</f>
        <v>0</v>
      </c>
      <c r="E25" s="10">
        <f>'IceBank Account'!P4*'IceBank Account'!P5</f>
        <v>0</v>
      </c>
      <c r="F25" s="10">
        <f>'IceBank Account'!U4*'IceBank Account'!U5</f>
        <v>0</v>
      </c>
      <c r="G25" s="4">
        <f>IF(C25="I",0,IF(C25="p",IF(D25-E25-F25&gt;='Chiller Calcs'!W39,'Chiller Calcs'!W39,0),0))</f>
        <v>0</v>
      </c>
      <c r="H25" s="17">
        <f>IF(C25="I",'Chiller Calcs'!W39*'IceBank Account'!F5,0)</f>
        <v>0</v>
      </c>
      <c r="I25" s="13">
        <f t="shared" si="3"/>
        <v>0</v>
      </c>
      <c r="J25" s="25"/>
      <c r="K25" s="237">
        <f t="shared" si="2"/>
        <v>0</v>
      </c>
      <c r="L25" s="12"/>
      <c r="M25" s="23"/>
    </row>
    <row r="26" spans="1:14">
      <c r="A26" s="3">
        <v>9</v>
      </c>
      <c r="B26" s="4">
        <v>21</v>
      </c>
      <c r="C26" s="10" t="str">
        <f>'IceBank Account'!B28</f>
        <v>P</v>
      </c>
      <c r="D26" s="11">
        <f>'IceBank Account'!C28</f>
        <v>0</v>
      </c>
      <c r="E26" s="10">
        <f>'IceBank Account'!P4*'IceBank Account'!P5</f>
        <v>0</v>
      </c>
      <c r="F26" s="10">
        <f>'IceBank Account'!U4*'IceBank Account'!U5</f>
        <v>0</v>
      </c>
      <c r="G26" s="4">
        <f>IF(C26="I",0,IF(C26="p",IF(D26-E26-F26&gt;='Chiller Calcs'!W39,'Chiller Calcs'!W39,0),0))</f>
        <v>0</v>
      </c>
      <c r="H26" s="17">
        <f>IF(C26="I",'Chiller Calcs'!W39*'IceBank Account'!F5,0)</f>
        <v>0</v>
      </c>
      <c r="I26" s="13">
        <f t="shared" si="3"/>
        <v>0</v>
      </c>
      <c r="J26" s="25">
        <f>IF(C26="I",J25+H26,J25-I26)</f>
        <v>0</v>
      </c>
      <c r="K26" s="237">
        <f t="shared" si="2"/>
        <v>0</v>
      </c>
      <c r="L26" s="12"/>
      <c r="M26" s="23"/>
    </row>
    <row r="27" spans="1:14">
      <c r="A27" s="3">
        <v>10</v>
      </c>
      <c r="B27" s="4">
        <v>22</v>
      </c>
      <c r="C27" s="10" t="str">
        <f>'IceBank Account'!B29</f>
        <v>P</v>
      </c>
      <c r="D27" s="11">
        <f>'IceBank Account'!C29</f>
        <v>0</v>
      </c>
      <c r="E27" s="10">
        <f>'IceBank Account'!P4*'IceBank Account'!P5</f>
        <v>0</v>
      </c>
      <c r="F27" s="10">
        <f>'IceBank Account'!U4*'IceBank Account'!U5</f>
        <v>0</v>
      </c>
      <c r="G27" s="4">
        <f>IF(C27="I",0,IF(C27="p",IF(D27-E27-F27&gt;='Chiller Calcs'!W39,'Chiller Calcs'!W39,0),0))</f>
        <v>0</v>
      </c>
      <c r="H27" s="17">
        <f>IF(C27="I",'Chiller Calcs'!W39*'IceBank Account'!F5,0)</f>
        <v>0</v>
      </c>
      <c r="I27" s="13">
        <f t="shared" si="3"/>
        <v>0</v>
      </c>
      <c r="J27" s="25">
        <f t="shared" ref="J27:J29" si="5">IF(C27="I",J26+H27,J26-I27)</f>
        <v>0</v>
      </c>
      <c r="K27" s="237">
        <f t="shared" si="2"/>
        <v>0</v>
      </c>
      <c r="L27" s="12"/>
      <c r="M27" s="24"/>
      <c r="N27" s="12"/>
    </row>
    <row r="28" spans="1:14">
      <c r="A28" s="3">
        <v>11</v>
      </c>
      <c r="B28" s="4">
        <v>23</v>
      </c>
      <c r="C28" s="10" t="str">
        <f>'IceBank Account'!B30</f>
        <v>I</v>
      </c>
      <c r="D28" s="11">
        <f>'IceBank Account'!C30</f>
        <v>0</v>
      </c>
      <c r="E28" s="10">
        <f>'IceBank Account'!P4*'IceBank Account'!P5</f>
        <v>0</v>
      </c>
      <c r="F28" s="10">
        <f>'IceBank Account'!U4*'IceBank Account'!U5</f>
        <v>0</v>
      </c>
      <c r="G28" s="4">
        <f>IF(C28="I",0,IF(C28="p",IF(D28-E28-F28&gt;='Chiller Calcs'!W39,'Chiller Calcs'!W39,0),0))</f>
        <v>0</v>
      </c>
      <c r="H28" s="17">
        <f>IF(C28="I",'Chiller Calcs'!W39*'IceBank Account'!F5,0)</f>
        <v>96.158256880733944</v>
      </c>
      <c r="I28" s="13">
        <f t="shared" si="3"/>
        <v>0</v>
      </c>
      <c r="J28" s="25">
        <f t="shared" si="5"/>
        <v>96.158256880733944</v>
      </c>
      <c r="K28" s="237">
        <f t="shared" si="2"/>
        <v>96.158256880733944</v>
      </c>
      <c r="L28" s="235"/>
      <c r="M28" s="12"/>
    </row>
    <row r="29" spans="1:14">
      <c r="A29" s="3">
        <v>12</v>
      </c>
      <c r="B29" s="4">
        <v>24</v>
      </c>
      <c r="C29" s="10" t="str">
        <f>'IceBank Account'!B31</f>
        <v>I</v>
      </c>
      <c r="D29" s="11">
        <f>'IceBank Account'!C31</f>
        <v>0</v>
      </c>
      <c r="E29" s="10">
        <f>'IceBank Account'!P4*'IceBank Account'!P5</f>
        <v>0</v>
      </c>
      <c r="F29" s="10">
        <f>'IceBank Account'!U4*'IceBank Account'!U5</f>
        <v>0</v>
      </c>
      <c r="G29" s="4">
        <f>IF(C29="I",0,IF(C29="p",IF(D29-E29-F29='Chiller Calcs'!W39,'Chiller Calcs'!W39,0),0))</f>
        <v>0</v>
      </c>
      <c r="H29" s="16">
        <f>IF(C29="I",'Chiller Calcs'!W39*'IceBank Account'!F5,0)</f>
        <v>96.158256880733944</v>
      </c>
      <c r="I29" s="13">
        <f t="shared" si="3"/>
        <v>0</v>
      </c>
      <c r="J29" s="25">
        <f t="shared" si="5"/>
        <v>192.31651376146789</v>
      </c>
      <c r="K29" s="237">
        <f t="shared" si="2"/>
        <v>96.158256880733944</v>
      </c>
    </row>
    <row r="30" spans="1:14" ht="15" thickBot="1">
      <c r="A30" s="6"/>
      <c r="B30" s="7"/>
      <c r="C30" s="7"/>
      <c r="D30" s="27">
        <f t="shared" ref="D30:I30" si="6">SUM(D6:D29)</f>
        <v>2012.5</v>
      </c>
      <c r="E30" s="5">
        <f t="shared" si="6"/>
        <v>0</v>
      </c>
      <c r="F30" s="5">
        <f t="shared" si="6"/>
        <v>0</v>
      </c>
      <c r="G30" s="5">
        <f>SUM(G6:G29)</f>
        <v>1035.5504587155963</v>
      </c>
      <c r="H30" s="26">
        <f t="shared" si="6"/>
        <v>576.94954128440361</v>
      </c>
      <c r="I30" s="14">
        <f t="shared" si="6"/>
        <v>1174.9495412844035</v>
      </c>
      <c r="J30" s="225"/>
      <c r="K30" s="238">
        <f t="shared" si="2"/>
        <v>1612.5</v>
      </c>
    </row>
  </sheetData>
  <mergeCells count="1">
    <mergeCell ref="A1:J3"/>
  </mergeCells>
  <pageMargins left="0.2" right="0.2" top="0.75" bottom="0.75" header="0.3" footer="0.3"/>
  <pageSetup orientation="landscape"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15</vt:i4>
      </vt:variant>
    </vt:vector>
  </HeadingPairs>
  <TitlesOfParts>
    <vt:vector size="30" baseType="lpstr">
      <vt:lpstr>Cover Page</vt:lpstr>
      <vt:lpstr>Chiller Calcs</vt:lpstr>
      <vt:lpstr>Summary</vt:lpstr>
      <vt:lpstr>IceBank Account</vt:lpstr>
      <vt:lpstr>GSD</vt:lpstr>
      <vt:lpstr>GSLD1</vt:lpstr>
      <vt:lpstr>GSLD2</vt:lpstr>
      <vt:lpstr>GSDT</vt:lpstr>
      <vt:lpstr>GSLDT1</vt:lpstr>
      <vt:lpstr>GSLDT2</vt:lpstr>
      <vt:lpstr>GSD-SDTR (Option B)</vt:lpstr>
      <vt:lpstr>GSLD1-SDTR (Option B)</vt:lpstr>
      <vt:lpstr>GSLD2-SDTR (Option B)</vt:lpstr>
      <vt:lpstr>Savings Analysis</vt:lpstr>
      <vt:lpstr>Chiller Input &amp; Cooling Profile</vt:lpstr>
      <vt:lpstr>DD_Eff</vt:lpstr>
      <vt:lpstr>Efficiency</vt:lpstr>
      <vt:lpstr>HourTypes</vt:lpstr>
      <vt:lpstr>IceMaking_Eff</vt:lpstr>
      <vt:lpstr>Months</vt:lpstr>
      <vt:lpstr>PeakLoad</vt:lpstr>
      <vt:lpstr>'IceBank Account'!Print_Area</vt:lpstr>
      <vt:lpstr>RatesTable</vt:lpstr>
      <vt:lpstr>reference</vt:lpstr>
      <vt:lpstr>Shoulder</vt:lpstr>
      <vt:lpstr>Shoulder_kW</vt:lpstr>
      <vt:lpstr>Tanks</vt:lpstr>
      <vt:lpstr>Tax</vt:lpstr>
      <vt:lpstr>Values</vt:lpstr>
      <vt:lpstr>Weekend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IceBank Account</dc:title>
  <dc:subject>Load Profile Analysis</dc:subject>
  <dc:creator>Mark</dc:creator>
  <cp:keywords>Load Profile, Tool</cp:keywords>
  <dc:description>Version 110318</dc:description>
  <cp:lastModifiedBy>Evan Berger</cp:lastModifiedBy>
  <cp:lastPrinted>2015-08-03T20:01:13Z</cp:lastPrinted>
  <dcterms:created xsi:type="dcterms:W3CDTF">2010-09-17T18:01:07Z</dcterms:created>
  <dcterms:modified xsi:type="dcterms:W3CDTF">2016-08-04T14:40:13Z</dcterms:modified>
  <cp:category>Marketing</cp:category>
  <cp:contentStatus>Preliminary</cp:contentStatus>
</cp:coreProperties>
</file>